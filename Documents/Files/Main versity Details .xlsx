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<sst xmlns="http://schemas.openxmlformats.org/spreadsheetml/2006/main" count="1939" uniqueCount="1013">
  <si>
    <t>CATEGORIE</t>
  </si>
  <si>
    <t>NAME</t>
  </si>
  <si>
    <t>Contact Number</t>
  </si>
  <si>
    <t>Short Form</t>
  </si>
  <si>
    <t>Established</t>
  </si>
  <si>
    <t>Address</t>
  </si>
  <si>
    <t>Email Address</t>
  </si>
  <si>
    <t>Website</t>
  </si>
  <si>
    <t>Admission Website</t>
  </si>
  <si>
    <t>Total Seats</t>
  </si>
  <si>
    <t>Science / Eng. Seats</t>
  </si>
  <si>
    <t>Arts / Hum. Seats</t>
  </si>
  <si>
    <t>Business Seats</t>
  </si>
  <si>
    <t>CATEGORIE MAIN</t>
  </si>
  <si>
    <t>1.Individual Admission</t>
  </si>
  <si>
    <t>National University</t>
  </si>
  <si>
    <t>NU</t>
  </si>
  <si>
    <t>Board Bazar, Gazipur-1704, Bangladesh</t>
  </si>
  <si>
    <t>registrar@nu.ac.bd</t>
  </si>
  <si>
    <t>http://www.nu.ac.bd</t>
  </si>
  <si>
    <t>http://www.nu.ac.bd/admissions</t>
  </si>
  <si>
    <t>400000*</t>
  </si>
  <si>
    <t>100000*</t>
  </si>
  <si>
    <t>200000*</t>
  </si>
  <si>
    <t>Individual Admission</t>
  </si>
  <si>
    <t xml:space="preserve">University of Dhaka </t>
  </si>
  <si>
    <t>DU</t>
  </si>
  <si>
    <t>Ramna, Dhaka-1000, Bangladesh</t>
  </si>
  <si>
    <t>registrar@du.ac.bd</t>
  </si>
  <si>
    <t>www.du.ac.bd</t>
  </si>
  <si>
    <t>admission.eis.du.ac.bd</t>
  </si>
  <si>
    <t>University of Dhaka (IBA)</t>
  </si>
  <si>
    <t>IBA-DU</t>
  </si>
  <si>
    <t>Ramna, Dhaka-1000</t>
  </si>
  <si>
    <t>bba@iba-du.edu</t>
  </si>
  <si>
    <t>www.iba-du.edu</t>
  </si>
  <si>
    <t>N/A</t>
  </si>
  <si>
    <t>University of Rajshahi</t>
  </si>
  <si>
    <t>RU</t>
  </si>
  <si>
    <t>Motihar, Rajshahi-6205, Bangladesh</t>
  </si>
  <si>
    <t>registrar@ru.ac.bd</t>
  </si>
  <si>
    <t>https://www.ru.ac.bd</t>
  </si>
  <si>
    <t>https://admission.ru.ac.bd</t>
  </si>
  <si>
    <t>University of Chittagong</t>
  </si>
  <si>
    <t>CU</t>
  </si>
  <si>
    <t>Hathazari, Chattogram-4331, Bangladesh</t>
  </si>
  <si>
    <t>admission@cu.ac.bd</t>
  </si>
  <si>
    <t>https://cu.ac.bd</t>
  </si>
  <si>
    <t>https://admission.cu.ac.bd</t>
  </si>
  <si>
    <t>Khulna University</t>
  </si>
  <si>
    <t>KU</t>
  </si>
  <si>
    <t>Gollamari, Khulna-9208, Bangladesh</t>
  </si>
  <si>
    <t>registrar@ku.ac.bd</t>
  </si>
  <si>
    <t>www.ku.ac.bd</t>
  </si>
  <si>
    <t>admission.ku.ac.bd</t>
  </si>
  <si>
    <t>Jahangirnagar University</t>
  </si>
  <si>
    <t>JU</t>
  </si>
  <si>
    <t>Savar, Dhaka-1342, Bangladesh</t>
  </si>
  <si>
    <t>registrar@juniv.edu</t>
  </si>
  <si>
    <t>www.juniv.edu</t>
  </si>
  <si>
    <t>ju-admission.org</t>
  </si>
  <si>
    <t>Jagannath University</t>
  </si>
  <si>
    <t>JnU</t>
  </si>
  <si>
    <t>9-10, Chittaranjan Avenue, Dhaka-1100</t>
  </si>
  <si>
    <t>info@jnu.ac.bd</t>
  </si>
  <si>
    <t>www.jnu.ac.bd</t>
  </si>
  <si>
    <t>admission.jnu.ac.bd</t>
  </si>
  <si>
    <t>2.Science &amp; Technology</t>
  </si>
  <si>
    <t>Bangladesh University of Engineering and Technology</t>
  </si>
  <si>
    <t>BUET</t>
  </si>
  <si>
    <t>Palashi, Dhaka-1205, Bangladesh</t>
  </si>
  <si>
    <t>registrar@regtr.buet.ac.bd</t>
  </si>
  <si>
    <t>www.buet.ac.bd</t>
  </si>
  <si>
    <t>admission.buet.ac.bd</t>
  </si>
  <si>
    <t>Science &amp; Technology</t>
  </si>
  <si>
    <t>Rajshahi University of Engineering &amp; Technology</t>
  </si>
  <si>
    <t>RUET</t>
  </si>
  <si>
    <t>Kazla, Rajshahi-6204, Bangladesh</t>
  </si>
  <si>
    <t>registrar@ruet.ac.bd</t>
  </si>
  <si>
    <t>www.ruet.ac.bd</t>
  </si>
  <si>
    <t>admission.ruet.ac.bd</t>
  </si>
  <si>
    <t>Khulna University of Engineering &amp; Technology</t>
  </si>
  <si>
    <t>KUET</t>
  </si>
  <si>
    <t>Fulbarigate, Khulna-9203, Bangladesh</t>
  </si>
  <si>
    <t>registrar@kuet.ac.bd</t>
  </si>
  <si>
    <t>www.kuet.ac.bd</t>
  </si>
  <si>
    <t>admission.kuet.ac.bd</t>
  </si>
  <si>
    <t>Chittagong University of Engineering &amp; Technology</t>
  </si>
  <si>
    <t>CUET</t>
  </si>
  <si>
    <t>Raozan, Chattogram-4349, Bangladesh</t>
  </si>
  <si>
    <t>registrar@cuet.ac.bd</t>
  </si>
  <si>
    <t>www.cuet.ac.bd</t>
  </si>
  <si>
    <t>admission.cuet.ac.bd</t>
  </si>
  <si>
    <t>Shahjalal University of Science and Technology</t>
  </si>
  <si>
    <t>SUST</t>
  </si>
  <si>
    <t>Kumargaon, Sylhet-3114, Bangladesh</t>
  </si>
  <si>
    <t>admission@sust.edu</t>
  </si>
  <si>
    <t>www.sust.edu</t>
  </si>
  <si>
    <t>admission.sust.edu.bd</t>
  </si>
  <si>
    <t>Dhaka University of Engineering &amp; Technology</t>
  </si>
  <si>
    <t>09666-328005</t>
  </si>
  <si>
    <t>DUET</t>
  </si>
  <si>
    <t>Gazipur-1707, Bangladesh</t>
  </si>
  <si>
    <t>registrar@duet.ac.bd</t>
  </si>
  <si>
    <t>https://www.duet.ac.bd/</t>
  </si>
  <si>
    <t>https://admission.duet.ac.bd/</t>
  </si>
  <si>
    <t>Islamic University of Technology</t>
  </si>
  <si>
    <t>IUT</t>
  </si>
  <si>
    <t>Board Bazar, Gazipur-1704</t>
  </si>
  <si>
    <t>registrar@iut-dhaka.edu</t>
  </si>
  <si>
    <t>https://www.iutoic-dhaka.edu</t>
  </si>
  <si>
    <t>https://admission.iutoic-dhaka.edu</t>
  </si>
  <si>
    <t>Hajee Mohammad Danesh Science &amp; Technology University</t>
  </si>
  <si>
    <t>HSTU</t>
  </si>
  <si>
    <t>Basherhat, Dinajpur-5200, Bangladesh</t>
  </si>
  <si>
    <t>registrar@hstu.ac.bd</t>
  </si>
  <si>
    <t>www.hstu.ac.bd</t>
  </si>
  <si>
    <t>admission.hstu.ac.bd</t>
  </si>
  <si>
    <t xml:space="preserve">3.GST (General/Public) </t>
  </si>
  <si>
    <t>University of Frontier Technology</t>
  </si>
  <si>
    <t>UFTB</t>
  </si>
  <si>
    <t>Kaliakair, Gazipur-1750, Bangladesh</t>
  </si>
  <si>
    <t>registrar@uftb.ac.bd</t>
  </si>
  <si>
    <t>https://www.uftb.ac.bd</t>
  </si>
  <si>
    <t>https://admission.uftb.ac.bd</t>
  </si>
  <si>
    <t xml:space="preserve">GST (General/Public) </t>
  </si>
  <si>
    <t>University of Barishal</t>
  </si>
  <si>
    <t>BU</t>
  </si>
  <si>
    <t>Karnakathi, Barishal - 8254</t>
  </si>
  <si>
    <t>registrar@bu.ac.bd</t>
  </si>
  <si>
    <r>
      <rPr>
        <rFont val="Arial"/>
        <b/>
        <color rgb="FF1155CC"/>
        <u/>
      </rPr>
      <t>https://bu.ac.bd</t>
    </r>
  </si>
  <si>
    <r>
      <rPr>
        <rFont val="Arial"/>
        <b/>
        <color rgb="FF1155CC"/>
        <u/>
      </rPr>
      <t>https://gstadmission.ac.bd</t>
    </r>
  </si>
  <si>
    <t>Rabindra University, Bangladesh</t>
  </si>
  <si>
    <t>RUB</t>
  </si>
  <si>
    <t>Shahzadpur, Sirajganj - 6770</t>
  </si>
  <si>
    <t>registrar@rub.ac.bd</t>
  </si>
  <si>
    <r>
      <rPr>
        <rFont val="Arial"/>
        <b/>
        <color rgb="FF1155CC"/>
        <u/>
      </rPr>
      <t>https://rub.ac.bd</t>
    </r>
  </si>
  <si>
    <r>
      <rPr>
        <rFont val="Arial"/>
        <b/>
        <color rgb="FF1155CC"/>
        <u/>
      </rPr>
      <t>https://gstadmission.ac.bd</t>
    </r>
  </si>
  <si>
    <t>Netrokona University</t>
  </si>
  <si>
    <t>NEU</t>
  </si>
  <si>
    <t>Netrokona - 2400</t>
  </si>
  <si>
    <t>info@neu.ac.bd</t>
  </si>
  <si>
    <r>
      <rPr>
        <rFont val="Arial"/>
        <b/>
        <color rgb="FF1155CC"/>
        <u/>
      </rPr>
      <t>https://neu.ac.bd</t>
    </r>
  </si>
  <si>
    <r>
      <rPr>
        <rFont val="Arial"/>
        <b/>
        <color rgb="FF1155CC"/>
        <u/>
      </rPr>
      <t>https://gstadmission.ac.bd</t>
    </r>
  </si>
  <si>
    <t>Naogaon University</t>
  </si>
  <si>
    <t>NaU</t>
  </si>
  <si>
    <t>Model Town, Naogaon, Bangladesh</t>
  </si>
  <si>
    <t>registrar@nau.ac.bd</t>
  </si>
  <si>
    <t>https://nau.ac.bd</t>
  </si>
  <si>
    <t>https://gstadmission.ac.bd</t>
  </si>
  <si>
    <t>Kishoreganj University</t>
  </si>
  <si>
    <t>KiU</t>
  </si>
  <si>
    <t>Boulai, Kishoreganj, Bangladesh</t>
  </si>
  <si>
    <t>registrar@kiu.ac.bd</t>
  </si>
  <si>
    <t>https://kiu.ac.bd</t>
  </si>
  <si>
    <t>https://admission.kiu.ac.bd</t>
  </si>
  <si>
    <t>Jatiya Kabi Kazi Nazrul Islam University</t>
  </si>
  <si>
    <t>JKKNIU</t>
  </si>
  <si>
    <t>Trishal, Mymensingh, Bangladesh</t>
  </si>
  <si>
    <t>registrar@jkkniu.edu.bd</t>
  </si>
  <si>
    <t>https://jkkniu.edu.bd</t>
  </si>
  <si>
    <t>Jamalpur Science and Technology University</t>
  </si>
  <si>
    <t>JSTU</t>
  </si>
  <si>
    <t>Melandaha, Jamalpur, Bangladesh</t>
  </si>
  <si>
    <t>registrar@jstu.ac.bd</t>
  </si>
  <si>
    <t>https://jstu.ac.bd</t>
  </si>
  <si>
    <t>Islamic University</t>
  </si>
  <si>
    <t>IU</t>
  </si>
  <si>
    <t>Kushtia-7003, Bangladesh</t>
  </si>
  <si>
    <t>registrar@iu.ac.bd</t>
  </si>
  <si>
    <t>https://iu.ac.bd</t>
  </si>
  <si>
    <t>Gopalganj Science and Technology University</t>
  </si>
  <si>
    <t>GSTU</t>
  </si>
  <si>
    <t>Gopalganj-8100, Bangladesh</t>
  </si>
  <si>
    <t>registrar@gstu.edu.bd</t>
  </si>
  <si>
    <t>https://gstu.edu.bd</t>
  </si>
  <si>
    <t>https://www.gstu.edu.bd/admission</t>
  </si>
  <si>
    <t>Chandpur Science and Technology University</t>
  </si>
  <si>
    <t>CSTU</t>
  </si>
  <si>
    <t>Kholishaduli, Chandpur, Bangladesh</t>
  </si>
  <si>
    <t>info@cstu.ac.bd</t>
  </si>
  <si>
    <t>https://www.cstu.ac.bd</t>
  </si>
  <si>
    <t>https://admission.cstu.ac.bd</t>
  </si>
  <si>
    <t>Begum Rokeya University</t>
  </si>
  <si>
    <t>BRUR</t>
  </si>
  <si>
    <t>Modern Mor, Rangpur - 5400</t>
  </si>
  <si>
    <t>office.registrar@brur.ac.bd</t>
  </si>
  <si>
    <r>
      <rPr>
        <rFont val="Arial"/>
        <b/>
        <color rgb="FF1155CC"/>
        <u/>
      </rPr>
      <t>https://brur.ac.bd</t>
    </r>
  </si>
  <si>
    <r>
      <rPr>
        <rFont val="Arial"/>
        <b/>
        <color rgb="FF1155CC"/>
        <u/>
      </rPr>
      <t>https://gstadmission.ac.bd</t>
    </r>
  </si>
  <si>
    <t>Narayanganj University</t>
  </si>
  <si>
    <t>Narayanganj Sadar</t>
  </si>
  <si>
    <t>info@nuy.ac.bd</t>
  </si>
  <si>
    <t>https://nuy.ac.bd</t>
  </si>
  <si>
    <t>Meherpur University</t>
  </si>
  <si>
    <t>MU</t>
  </si>
  <si>
    <t>Mujibnagar, Meherpur-7110</t>
  </si>
  <si>
    <t>meherpuruniversity@gmail.com</t>
  </si>
  <si>
    <t>https://www.mum.ac.bd</t>
  </si>
  <si>
    <t xml:space="preserve">4.GST (Science &amp; Technology) </t>
  </si>
  <si>
    <t>Mawlana Bhashani Science and Technology University</t>
  </si>
  <si>
    <t>MBSTU</t>
  </si>
  <si>
    <t>Santosh, Tangail - 1902</t>
  </si>
  <si>
    <t>registrar@mbstu.ac.bd</t>
  </si>
  <si>
    <r>
      <rPr>
        <rFont val="Arial"/>
        <b/>
        <color rgb="FF1155CC"/>
        <u/>
      </rPr>
      <t>https://mbstu.ac.bd</t>
    </r>
  </si>
  <si>
    <r>
      <rPr>
        <rFont val="Arial"/>
        <b/>
        <color rgb="FF1155CC"/>
        <u/>
      </rPr>
      <t>https://gstadmission.ac.bd</t>
    </r>
  </si>
  <si>
    <t xml:space="preserve">GST (Science &amp; Technology) </t>
  </si>
  <si>
    <t>Sunamganj Science and Technology University</t>
  </si>
  <si>
    <t>SSTU</t>
  </si>
  <si>
    <t>Shantiganj, Sunamganj-3000</t>
  </si>
  <si>
    <t>info@sstu.ac.bd</t>
  </si>
  <si>
    <t>https://sstu.ac.bd</t>
  </si>
  <si>
    <t>Satkhira Science and Technology University</t>
  </si>
  <si>
    <t>SATSTU</t>
  </si>
  <si>
    <t>Satkhira</t>
  </si>
  <si>
    <t>www.satstu.ac.bd</t>
  </si>
  <si>
    <t>gstadmission.ac.bd</t>
  </si>
  <si>
    <t>Rangamati Science and Technology University</t>
  </si>
  <si>
    <t>RMSTU</t>
  </si>
  <si>
    <t>Vedvedi, Rangamati-4500</t>
  </si>
  <si>
    <t>contact@rmstu.ac.bd</t>
  </si>
  <si>
    <t>https://rmstu.ac.bd</t>
  </si>
  <si>
    <t>Pirojpur Science and Technology University</t>
  </si>
  <si>
    <t>PrSTU</t>
  </si>
  <si>
    <t>Pirojpur - 8500</t>
  </si>
  <si>
    <t>registrar@prstu.ac.bd</t>
  </si>
  <si>
    <r>
      <rPr>
        <rFont val="Arial"/>
        <b/>
        <color rgb="FF1155CC"/>
        <u/>
      </rPr>
      <t>https://prstu.ac.bd</t>
    </r>
  </si>
  <si>
    <r>
      <rPr>
        <rFont val="Arial"/>
        <b/>
        <color rgb="FF1155CC"/>
        <u/>
      </rPr>
      <t>https://gstadmission.ac.bd</t>
    </r>
  </si>
  <si>
    <t>Patuakhali Science and Technology University</t>
  </si>
  <si>
    <t>PSTU</t>
  </si>
  <si>
    <t>Dumki, Patuakhali - 8602</t>
  </si>
  <si>
    <t>registrar@pstu.ac.bd</t>
  </si>
  <si>
    <r>
      <rPr>
        <rFont val="Arial"/>
        <b/>
        <color rgb="FF1155CC"/>
        <u/>
      </rPr>
      <t>https://pstu.ac.bd</t>
    </r>
  </si>
  <si>
    <r>
      <rPr>
        <rFont val="Arial"/>
        <b/>
        <color rgb="FF1155CC"/>
        <u/>
      </rPr>
      <t>https://gstadmission.ac.bd</t>
    </r>
  </si>
  <si>
    <t>Pabna University of Science and Technology</t>
  </si>
  <si>
    <t>PUST</t>
  </si>
  <si>
    <t>Rajapur, Pabna - 6600</t>
  </si>
  <si>
    <t>registrar@pust.ac.bd</t>
  </si>
  <si>
    <r>
      <rPr>
        <rFont val="Arial"/>
        <b/>
        <color rgb="FF1155CC"/>
        <u/>
      </rPr>
      <t>https://pust.ac.bd</t>
    </r>
  </si>
  <si>
    <r>
      <rPr>
        <rFont val="Arial"/>
        <b/>
        <color rgb="FF1155CC"/>
        <u/>
      </rPr>
      <t>https://gstadmission.ac.bd</t>
    </r>
  </si>
  <si>
    <t>Noakhali Science and Technology University</t>
  </si>
  <si>
    <t>NSTU</t>
  </si>
  <si>
    <t>Sonapur, Noakhali - 3814</t>
  </si>
  <si>
    <t>registrar@office.nstu.edu.bd</t>
  </si>
  <si>
    <r>
      <rPr>
        <rFont val="Arial"/>
        <b/>
        <color rgb="FF1155CC"/>
        <u/>
      </rPr>
      <t>https://nstu.edu.bd</t>
    </r>
  </si>
  <si>
    <r>
      <rPr>
        <rFont val="Arial"/>
        <b/>
        <color rgb="FF1155CC"/>
        <u/>
      </rPr>
      <t>https://gstadmission.ac.bd</t>
    </r>
  </si>
  <si>
    <t>Jashore University of Science and Technology</t>
  </si>
  <si>
    <t>JUST</t>
  </si>
  <si>
    <t>Jashore - 7408</t>
  </si>
  <si>
    <t>registrar@just.edu.bd</t>
  </si>
  <si>
    <r>
      <rPr>
        <rFont val="Arial"/>
        <b/>
        <color rgb="FF1155CC"/>
        <u/>
      </rPr>
      <t>https://just.edu.bd</t>
    </r>
  </si>
  <si>
    <r>
      <rPr>
        <rFont val="Arial"/>
        <b/>
        <color rgb="FF1155CC"/>
        <u/>
      </rPr>
      <t>https://gstadmission.ac.bd</t>
    </r>
  </si>
  <si>
    <t>Bangladesh Digital University</t>
  </si>
  <si>
    <t>BDU</t>
  </si>
  <si>
    <t>Kaliakair, Gazipur-1750</t>
  </si>
  <si>
    <t>registrar@bdu.ac.bd</t>
  </si>
  <si>
    <t>https://bdu.ac.bd</t>
  </si>
  <si>
    <t>5.Medical College</t>
  </si>
  <si>
    <t>Sunamganj Medical College Sunamganj</t>
  </si>
  <si>
    <t>BMSMC</t>
  </si>
  <si>
    <t>Sunamganj-3000</t>
  </si>
  <si>
    <t>bmsmc@ac.dghs.gov.bd</t>
  </si>
  <si>
    <t>https://bmsmc.gov.bd</t>
  </si>
  <si>
    <t>https://dgme.teletalk.com.bd</t>
  </si>
  <si>
    <t>Medical College</t>
  </si>
  <si>
    <t>Sir Salimullah Medical College</t>
  </si>
  <si>
    <t>SSMC</t>
  </si>
  <si>
    <t>Mitford Road, Dhaka</t>
  </si>
  <si>
    <t>ssmc@ac.dghs.gov.bd</t>
  </si>
  <si>
    <t>https://ssmc.gov.bd</t>
  </si>
  <si>
    <t>Sher-e-Bangla Medical College</t>
  </si>
  <si>
    <t>SBMC</t>
  </si>
  <si>
    <t>Band Road, Barishal-8200</t>
  </si>
  <si>
    <t>sbmc@ac.dghs.gov.bd</t>
  </si>
  <si>
    <t>https://sbmc.gov.bd</t>
  </si>
  <si>
    <t>Sheikh Sayera Khatun Medical College</t>
  </si>
  <si>
    <t>SSKMC</t>
  </si>
  <si>
    <t>Gopalganj-8100</t>
  </si>
  <si>
    <t>sskmc@ac.dghs.gov.bd</t>
  </si>
  <si>
    <t>https://sskmc.gov.bd</t>
  </si>
  <si>
    <t>Sheikh Hasina Medical College, Tangail</t>
  </si>
  <si>
    <t>SHMCT</t>
  </si>
  <si>
    <t>Tangail-1900</t>
  </si>
  <si>
    <t>shmct@ac.dghs.gov.bd</t>
  </si>
  <si>
    <t>https://shmct.gov.bd</t>
  </si>
  <si>
    <t>Sheikh Hasina Medical College Habiganj</t>
  </si>
  <si>
    <t>SHMCH</t>
  </si>
  <si>
    <t>Habiganj-3300</t>
  </si>
  <si>
    <t>shmch@ac.dghs.gov.bd</t>
  </si>
  <si>
    <t>https://shmch.gov.bd</t>
  </si>
  <si>
    <t>Shaheed Ziaur Rahman Medical College</t>
  </si>
  <si>
    <t>SZMC</t>
  </si>
  <si>
    <t>Chilimpur, Bogura</t>
  </si>
  <si>
    <t>szmc@ac.dghs.gov.bd</t>
  </si>
  <si>
    <t>https://szmc.gov.bd</t>
  </si>
  <si>
    <t>Shaheed Tajuddin Ahmad Medical College</t>
  </si>
  <si>
    <t>STAMC</t>
  </si>
  <si>
    <t>Gazipur-1700</t>
  </si>
  <si>
    <t>stamc@ac.dghs.gov.bd</t>
  </si>
  <si>
    <t>https://stamc.gov.bd</t>
  </si>
  <si>
    <t>Shaheed Syed Nazrul Islam Medical College</t>
  </si>
  <si>
    <t>SSNIMC</t>
  </si>
  <si>
    <t>Kishoreganj-2300</t>
  </si>
  <si>
    <t>ssnimc@ac.dghs.gov.bd</t>
  </si>
  <si>
    <t>https://ssnimc.gov.bd</t>
  </si>
  <si>
    <t>Shaheed Suhrawardy Medical College</t>
  </si>
  <si>
    <t>ShSMC</t>
  </si>
  <si>
    <t>Sher-e-Bangla Nagar, Dhaka</t>
  </si>
  <si>
    <t>shsmc@ac.dghs.gov.bd</t>
  </si>
  <si>
    <t>https://shsmc.gov.bd</t>
  </si>
  <si>
    <t>Shaheed M. Monsur Ali Medical College</t>
  </si>
  <si>
    <t>SMMAMC</t>
  </si>
  <si>
    <t>Sirajganj-6700</t>
  </si>
  <si>
    <t>smmamc@ac.dghs.gov.bd</t>
  </si>
  <si>
    <t>https://smmamc.gov.bd</t>
  </si>
  <si>
    <t>Satkhira Medical College</t>
  </si>
  <si>
    <t>SMC</t>
  </si>
  <si>
    <t>Satkhira-9400</t>
  </si>
  <si>
    <t>smc@ac.dghs.gov.bd</t>
  </si>
  <si>
    <t>https://smc.gov.bd</t>
  </si>
  <si>
    <t>Rangpur Medical College</t>
  </si>
  <si>
    <t>RpMC</t>
  </si>
  <si>
    <t>Rangpur-5400</t>
  </si>
  <si>
    <t>rpmc@ac.dghs.gov.bd</t>
  </si>
  <si>
    <t>https://rangpurmedical.gov.bd</t>
  </si>
  <si>
    <t>Rangamati Medical College</t>
  </si>
  <si>
    <t>RaMC</t>
  </si>
  <si>
    <t>Rangamati-4500</t>
  </si>
  <si>
    <t>ramc@ac.dghs.gov.bd</t>
  </si>
  <si>
    <t>https://ramc.gov.bd</t>
  </si>
  <si>
    <t>Rajshahi Medical University</t>
  </si>
  <si>
    <t>RMU</t>
  </si>
  <si>
    <t>Rajshahi-6000, Bangladesh</t>
  </si>
  <si>
    <t>info@rmu.edu.bd</t>
  </si>
  <si>
    <t>https://rmu.ac.bd</t>
  </si>
  <si>
    <t>https://dgme.gov.bd</t>
  </si>
  <si>
    <t>Rajshahi Medical College</t>
  </si>
  <si>
    <t>RMC</t>
  </si>
  <si>
    <t>Laxmipur, Rajshahi-6000</t>
  </si>
  <si>
    <t>rmc@ac.dghs.gov.bd</t>
  </si>
  <si>
    <t>https://rmc.gov.bd</t>
  </si>
  <si>
    <t>Patuakhali Medical College</t>
  </si>
  <si>
    <t>PkMC</t>
  </si>
  <si>
    <t>Patuakhali-8600</t>
  </si>
  <si>
    <t>pkmc@ac.dghs.gov.bd</t>
  </si>
  <si>
    <t>https://pkmc.gov.bd</t>
  </si>
  <si>
    <t>Pabna Medical College</t>
  </si>
  <si>
    <t>PMC</t>
  </si>
  <si>
    <t>Hemayetpur, Pabna-6600</t>
  </si>
  <si>
    <t>pabnamc@ac.dghs.gov.bd</t>
  </si>
  <si>
    <t>https://pmc.gov.bd</t>
  </si>
  <si>
    <t>Nilphamari Medical College</t>
  </si>
  <si>
    <t>NiMC</t>
  </si>
  <si>
    <t>Nilphamari-5400</t>
  </si>
  <si>
    <t>nimc@ac.dghs.gov.bd</t>
  </si>
  <si>
    <t>https://nimc.gov.bd</t>
  </si>
  <si>
    <t>Netrokona Medical College</t>
  </si>
  <si>
    <t>NeMC</t>
  </si>
  <si>
    <t>Netrokona-2400</t>
  </si>
  <si>
    <t>nemc@ac.dghs.gov.bd</t>
  </si>
  <si>
    <t>https://nemc.gov.bd</t>
  </si>
  <si>
    <t>Naogaon Medical College</t>
  </si>
  <si>
    <t>NaMC</t>
  </si>
  <si>
    <t>Naogaon-6500</t>
  </si>
  <si>
    <t>namc@ac.dghs.gov.bd</t>
  </si>
  <si>
    <t>https://namc.gov.bd</t>
  </si>
  <si>
    <t>Mymensingh Medical College</t>
  </si>
  <si>
    <t>091-67001-7</t>
  </si>
  <si>
    <t>MMC</t>
  </si>
  <si>
    <t>Charpara, Mymensingh</t>
  </si>
  <si>
    <t>mmc@ac.dghs.gov.bd</t>
  </si>
  <si>
    <t>https://mmc.gov.bd</t>
  </si>
  <si>
    <t>Mugda Medical College</t>
  </si>
  <si>
    <t>MuMC</t>
  </si>
  <si>
    <t>Mugda, Dhaka</t>
  </si>
  <si>
    <t>mumc@ac.dghs.gov.bd</t>
  </si>
  <si>
    <t>https://mumc.gov.bd</t>
  </si>
  <si>
    <t>Magura Medical College</t>
  </si>
  <si>
    <t>MaMC</t>
  </si>
  <si>
    <t>Magura-7600</t>
  </si>
  <si>
    <t>mamc@ac.dghs.gov.bd</t>
  </si>
  <si>
    <t>https://mamc.gov.bd</t>
  </si>
  <si>
    <t>M.A.G. Osmani Medical College</t>
  </si>
  <si>
    <t>SOMC</t>
  </si>
  <si>
    <t>Sylhet-3100</t>
  </si>
  <si>
    <t>somc@ac.dghs.gov.bd</t>
  </si>
  <si>
    <t>https://magosmanimedical.com</t>
  </si>
  <si>
    <t>M. Abdur Rahim Medical College</t>
  </si>
  <si>
    <t>MARMC</t>
  </si>
  <si>
    <t>Dinajpur-5200</t>
  </si>
  <si>
    <t>marmcd@ac.dghs.gov.bd</t>
  </si>
  <si>
    <t>https://marmcd.gov.bd</t>
  </si>
  <si>
    <t>Kushtia Medical College</t>
  </si>
  <si>
    <t>KuMC</t>
  </si>
  <si>
    <t>Kushtia-7000</t>
  </si>
  <si>
    <t>kumc@ac.dghs.gov.bd</t>
  </si>
  <si>
    <t>https://kumc.gov.bd</t>
  </si>
  <si>
    <t>Khulna Medical University</t>
  </si>
  <si>
    <t>KMU</t>
  </si>
  <si>
    <t>Khulna, Bangladesh</t>
  </si>
  <si>
    <t>registrar@kmu.ac.bd</t>
  </si>
  <si>
    <t>https://kmu.ac.bd</t>
  </si>
  <si>
    <t>Khulna Medical College</t>
  </si>
  <si>
    <t>KMC</t>
  </si>
  <si>
    <t>Boyra, Khulna-9100</t>
  </si>
  <si>
    <t>khulnamedicalcollege@yahoo.com</t>
  </si>
  <si>
    <t>https://khulnamedicalcollege.edu.bd</t>
  </si>
  <si>
    <t>Jashore Medical College</t>
  </si>
  <si>
    <t>JMC</t>
  </si>
  <si>
    <t>Jashore-7400</t>
  </si>
  <si>
    <t>jmc@ac.dghs.gov.bd</t>
  </si>
  <si>
    <t>https://jmc.gov.bd</t>
  </si>
  <si>
    <t>Faridpur Medical College</t>
  </si>
  <si>
    <t>BSMMC</t>
  </si>
  <si>
    <t>Faridpur-7800</t>
  </si>
  <si>
    <t>bsmmcf@ac.dghs.gov.bd</t>
  </si>
  <si>
    <t>https://bsmmcf.gov.bd</t>
  </si>
  <si>
    <t>Dhaka Medical College</t>
  </si>
  <si>
    <t>DMC</t>
  </si>
  <si>
    <t>Bakshibazar, Dhaka</t>
  </si>
  <si>
    <t>principal@dmc.gov.bd</t>
  </si>
  <si>
    <t>https://dmc.gov.bd</t>
  </si>
  <si>
    <t>Cumilla Medical College</t>
  </si>
  <si>
    <t>CuMC</t>
  </si>
  <si>
    <t>Kuchaitoli, Cumilla</t>
  </si>
  <si>
    <t>cumc@ac.dghs.gov.bd</t>
  </si>
  <si>
    <t>https://cumc.gov.bd</t>
  </si>
  <si>
    <t>Cox's Bazar Medical College</t>
  </si>
  <si>
    <t>CoxMC</t>
  </si>
  <si>
    <t>Cox's Bazar-4700</t>
  </si>
  <si>
    <t>coxmc@ac.dghs.gov.bd</t>
  </si>
  <si>
    <t>https://coxmc.gov.bd</t>
  </si>
  <si>
    <t>Colonel Malek Medical College</t>
  </si>
  <si>
    <t>CMMC</t>
  </si>
  <si>
    <t>Manikganj-1800</t>
  </si>
  <si>
    <t>cmmc@ac.dghs.gov.bd</t>
  </si>
  <si>
    <t>https://cmmc.gov.bd</t>
  </si>
  <si>
    <t>Chittagong Medical University</t>
  </si>
  <si>
    <t>CMU</t>
  </si>
  <si>
    <t>Chattogram, Bangladesh</t>
  </si>
  <si>
    <t>registrar@cmu.edu.bd</t>
  </si>
  <si>
    <t>https://cmu.edu.bd</t>
  </si>
  <si>
    <t>Chattogram Medical College</t>
  </si>
  <si>
    <t>CMC</t>
  </si>
  <si>
    <t>K.B. Fazlul Kader Road</t>
  </si>
  <si>
    <t>cmc@ac.dghs.gov.bd</t>
  </si>
  <si>
    <t>https://cmc.gov.bd</t>
  </si>
  <si>
    <t>Chandpur Medical College</t>
  </si>
  <si>
    <t>ChMC</t>
  </si>
  <si>
    <t>Chandpur-3600</t>
  </si>
  <si>
    <t>chmc@ac.dghs.gov.bd</t>
  </si>
  <si>
    <t>https://chmc.gov.bd</t>
  </si>
  <si>
    <t>Bangamata Sheikh Fazilatunnesa Mujib Medical University</t>
  </si>
  <si>
    <t>BSFMMU</t>
  </si>
  <si>
    <t>Chowhatta, Sylhet-3100</t>
  </si>
  <si>
    <t>info@bsfmmu.edu.bd</t>
  </si>
  <si>
    <t>https://bsfmmu.edu.bd</t>
  </si>
  <si>
    <t>https://bsfmmu.edu.bd/admission</t>
  </si>
  <si>
    <t>Bangabandhu Sheikh Mujib Medical University</t>
  </si>
  <si>
    <t>BSMMU</t>
  </si>
  <si>
    <t>Shahbagh, Dhaka-1000</t>
  </si>
  <si>
    <t>info@bsmmu.edu.bd</t>
  </si>
  <si>
    <t>https://bsmmu.edu.bd</t>
  </si>
  <si>
    <t>https://admission.bsmmu.edu.bd</t>
  </si>
  <si>
    <t>Abdul Malek Ukil Medical College</t>
  </si>
  <si>
    <t>AMUMC</t>
  </si>
  <si>
    <t>Noakhali-3800</t>
  </si>
  <si>
    <t>amumc@ac.dghs.gov.bd</t>
  </si>
  <si>
    <t>https://amumc.gov.bd</t>
  </si>
  <si>
    <t>6.AGRI Cluster</t>
  </si>
  <si>
    <t>Sylhet Agricultural University</t>
  </si>
  <si>
    <t>SyAU</t>
  </si>
  <si>
    <t>registrar@sau.ac.bd</t>
  </si>
  <si>
    <t>https://www.sau.ac.bd</t>
  </si>
  <si>
    <t>https://acas.edu.bd</t>
  </si>
  <si>
    <t>Sher-e-Bangla Agricultural University</t>
  </si>
  <si>
    <t>ShAU</t>
  </si>
  <si>
    <t>Sher-e-Bangla Nagar, Dhaka-1207</t>
  </si>
  <si>
    <t>registrar@sau.edu.bd</t>
  </si>
  <si>
    <t>https://www.sau.edu.bd</t>
  </si>
  <si>
    <t>AGRI Cluster</t>
  </si>
  <si>
    <t>Kurigram Agricultural University</t>
  </si>
  <si>
    <t>KrAU</t>
  </si>
  <si>
    <t>Vocational Mor, Kurigram-5600</t>
  </si>
  <si>
    <t>registrar@kuriau.edu.bd</t>
  </si>
  <si>
    <t>https://www.kuriau.edu.bd</t>
  </si>
  <si>
    <t>Khulna Agricultural University</t>
  </si>
  <si>
    <t>KAU</t>
  </si>
  <si>
    <t>Daulatpur, Khulna-9202</t>
  </si>
  <si>
    <t>registrar@kau.ac.bd</t>
  </si>
  <si>
    <t>https://www.kau.edu.bd</t>
  </si>
  <si>
    <t>Habiganj Agricultural University</t>
  </si>
  <si>
    <t>HAU</t>
  </si>
  <si>
    <t>Vadoi, Habiganj-3300</t>
  </si>
  <si>
    <t>registraroffice@hau.ac.bd</t>
  </si>
  <si>
    <t>https://www.hau.ac.bd</t>
  </si>
  <si>
    <t>Chittagong Veterinary and Animal Sciences University</t>
  </si>
  <si>
    <t>CVASU</t>
  </si>
  <si>
    <t>Khulsi, Chattogram-4202</t>
  </si>
  <si>
    <t>registrar@cvasu.ac.bd</t>
  </si>
  <si>
    <t>https://www.cvasu.ac.bd</t>
  </si>
  <si>
    <t>Bangladesh Agricultural University</t>
  </si>
  <si>
    <t>BAU</t>
  </si>
  <si>
    <t>Mymensingh-2202</t>
  </si>
  <si>
    <t>registrar@bau.edu.bd</t>
  </si>
  <si>
    <t>https://www.bau.edu.bd</t>
  </si>
  <si>
    <t>Bangabandhu Sheikh Mujibur Rahman Agricultural University</t>
  </si>
  <si>
    <t>BSMRAU</t>
  </si>
  <si>
    <t>Salna, Gazipur-1706</t>
  </si>
  <si>
    <t>registrar@bsmrau.edu.bd</t>
  </si>
  <si>
    <t>https://bsmrau.edu.bd</t>
  </si>
  <si>
    <t>7.Under Army</t>
  </si>
  <si>
    <t>Military Institute of Science and Technology</t>
  </si>
  <si>
    <t>MIST</t>
  </si>
  <si>
    <t>Mirpur Cantonment, Dhaka-1216</t>
  </si>
  <si>
    <t>registrar@mist.ac.bd</t>
  </si>
  <si>
    <t>https://mist.ac.bd</t>
  </si>
  <si>
    <t>https://admission.mist.ac.bd</t>
  </si>
  <si>
    <t>Bangladesh University of Professionals</t>
  </si>
  <si>
    <t>BUP</t>
  </si>
  <si>
    <t>info@bup.edu.bd</t>
  </si>
  <si>
    <t>bup.edu.bd</t>
  </si>
  <si>
    <t>admission.bup.edu.bd</t>
  </si>
  <si>
    <t>Under Army</t>
  </si>
  <si>
    <t>Bangladesh Naval Academy</t>
  </si>
  <si>
    <t>BNA</t>
  </si>
  <si>
    <t>Patenga, Chattogram</t>
  </si>
  <si>
    <t>bna@navy.mil.bd</t>
  </si>
  <si>
    <t>https://bna.navy.mil.bd</t>
  </si>
  <si>
    <t>https://joinnavy.navy.mil.bd</t>
  </si>
  <si>
    <t>Bangladesh Air Force Academy</t>
  </si>
  <si>
    <t>BAFA</t>
  </si>
  <si>
    <t>Jashore, Bangladesh</t>
  </si>
  <si>
    <t>info@bafa.mil.bd</t>
  </si>
  <si>
    <t>https://bafa.mil.bd</t>
  </si>
  <si>
    <t>https://joinairforce.baf.mil.bd</t>
  </si>
  <si>
    <t>Army Institute of Business Administration, Sylhet</t>
  </si>
  <si>
    <t>AIBA Sylhet</t>
  </si>
  <si>
    <t>Jalalabad Cantonment</t>
  </si>
  <si>
    <t>info@aibasylhet.edu.bd</t>
  </si>
  <si>
    <t>https://aibasylhet.edu.bd</t>
  </si>
  <si>
    <t>https://aibasylhet.edu.bd/admission</t>
  </si>
  <si>
    <t>Army Institute of Business Administration, Savar</t>
  </si>
  <si>
    <t>AIBA Savar</t>
  </si>
  <si>
    <t>Savar Cantonment</t>
  </si>
  <si>
    <t>info@aibasavar.edu.bd</t>
  </si>
  <si>
    <t>https://aibasavar.edu.bd</t>
  </si>
  <si>
    <t>https://aibasavar.edu.bd/admission</t>
  </si>
  <si>
    <t>Navy Medical College Chattogram</t>
  </si>
  <si>
    <t>NMCC</t>
  </si>
  <si>
    <t>Navy Hospital Area, Chattogram</t>
  </si>
  <si>
    <t>info@nmcc.edu.bd</t>
  </si>
  <si>
    <r>
      <rPr>
        <rFont val="Arial"/>
        <b/>
        <color rgb="FF1155CC"/>
        <u/>
      </rPr>
      <t>https://nmcc.edu.bd</t>
    </r>
  </si>
  <si>
    <r>
      <rPr>
        <rFont val="Arial"/>
        <b/>
        <color rgb="FF1155CC"/>
        <u/>
      </rPr>
      <t>http://afmc.teletalk.com.bd</t>
    </r>
  </si>
  <si>
    <t>Army Medical College Rangpur</t>
  </si>
  <si>
    <t>AMCR</t>
  </si>
  <si>
    <t>Rangpur Cantonment, Rangpur</t>
  </si>
  <si>
    <t>ramc.mil.bd@gmail.com</t>
  </si>
  <si>
    <r>
      <rPr>
        <rFont val="Arial"/>
        <b/>
        <color rgb="FF1155CC"/>
        <u/>
      </rPr>
      <t>https://amcrbd.org</t>
    </r>
  </si>
  <si>
    <r>
      <rPr>
        <rFont val="Arial"/>
        <b/>
        <color rgb="FF1155CC"/>
        <u/>
      </rPr>
      <t>http://afmc.teletalk.com.bd</t>
    </r>
  </si>
  <si>
    <t>Under Army (Medical)</t>
  </si>
  <si>
    <t>Army Medical College Jashore</t>
  </si>
  <si>
    <t>AMCJ</t>
  </si>
  <si>
    <t>Jashore Cantonment, Jashore</t>
  </si>
  <si>
    <t>mc.jessore55@gmail.com</t>
  </si>
  <si>
    <r>
      <rPr>
        <rFont val="Arial"/>
        <b/>
        <color rgb="FF1155CC"/>
        <u/>
      </rPr>
      <t>https://amcj.edu.bd</t>
    </r>
  </si>
  <si>
    <r>
      <rPr>
        <rFont val="Arial"/>
        <b/>
        <color rgb="FF1155CC"/>
        <u/>
      </rPr>
      <t>http://afmc.teletalk.com.bd</t>
    </r>
  </si>
  <si>
    <t>Army Medical College Cumilla</t>
  </si>
  <si>
    <t>AMCCU</t>
  </si>
  <si>
    <t>Cumilla Cantonment, Cumilla</t>
  </si>
  <si>
    <t>amccomilla2015@gmail.com</t>
  </si>
  <si>
    <r>
      <rPr>
        <rFont val="Arial"/>
        <b/>
        <color rgb="FF1155CC"/>
        <u/>
      </rPr>
      <t>https://amccomilla.edu.bd</t>
    </r>
  </si>
  <si>
    <r>
      <rPr>
        <rFont val="Arial"/>
        <b/>
        <color rgb="FF1155CC"/>
        <u/>
      </rPr>
      <t>http://afmc.teletalk.com.bd</t>
    </r>
  </si>
  <si>
    <t>Army Medical College Chattogram</t>
  </si>
  <si>
    <t>AMCC</t>
  </si>
  <si>
    <t>Chattogram Cantonment, Chattogram</t>
  </si>
  <si>
    <t>amcc.ctg@gmail.com</t>
  </si>
  <si>
    <r>
      <rPr>
        <rFont val="Arial"/>
        <b/>
        <color rgb="FF1155CC"/>
        <u/>
      </rPr>
      <t>https://amcc.edu.bd</t>
    </r>
  </si>
  <si>
    <r>
      <rPr>
        <rFont val="Arial"/>
        <b/>
        <color rgb="FF1155CC"/>
        <u/>
      </rPr>
      <t>http://afmc.teletalk.com.bd</t>
    </r>
  </si>
  <si>
    <t>Army Medical College Bogura</t>
  </si>
  <si>
    <t>AMCB</t>
  </si>
  <si>
    <t>Bogura Cantonment, Bogura</t>
  </si>
  <si>
    <t>info@amcb.edu.bd</t>
  </si>
  <si>
    <t>https://amcb.edu.bd</t>
  </si>
  <si>
    <t>http://afmc.teletalk.com.bd</t>
  </si>
  <si>
    <t>Armed Forces Medical College</t>
  </si>
  <si>
    <t>AFMC</t>
  </si>
  <si>
    <t>Dhaka Cantonment, Dhaka-1206</t>
  </si>
  <si>
    <t>info@afmc.edu.bd</t>
  </si>
  <si>
    <t>https://afmc.edu.bd</t>
  </si>
  <si>
    <t>8.DCU</t>
  </si>
  <si>
    <t>Dhaka College</t>
  </si>
  <si>
    <t>DC</t>
  </si>
  <si>
    <t>New Market, Mirpur Road, Dhaka-1205</t>
  </si>
  <si>
    <t>principal@dhakacollege.edu.bd</t>
  </si>
  <si>
    <t>www.dhakacollege.edu.bd</t>
  </si>
  <si>
    <t>collegeadmission.eis.du.ac.bd</t>
  </si>
  <si>
    <t>Eden Mohila College</t>
  </si>
  <si>
    <t>EMC</t>
  </si>
  <si>
    <t>Azimpur, Dhaka-1205</t>
  </si>
  <si>
    <t>info@emc.edu.bd</t>
  </si>
  <si>
    <t>www.emc.edu.bd</t>
  </si>
  <si>
    <t>DCU</t>
  </si>
  <si>
    <t>Kabi Nazrul Government College</t>
  </si>
  <si>
    <t>KNGC</t>
  </si>
  <si>
    <t>Laxmibazar, Dhaka-1100</t>
  </si>
  <si>
    <t>kngcdhaka@gmail.com</t>
  </si>
  <si>
    <t>www.kngc.edu.bd</t>
  </si>
  <si>
    <t>Government Titumir College</t>
  </si>
  <si>
    <t>GTC</t>
  </si>
  <si>
    <t>Bir Uttam AK Khandakar Road, Mohakhali, Dhaka-1212</t>
  </si>
  <si>
    <t>info@titumircollege.gov.bd</t>
  </si>
  <si>
    <t>www.titumircollege.gov.bd</t>
  </si>
  <si>
    <t>Government Shaheed Suhrawardy College</t>
  </si>
  <si>
    <t>GSSC</t>
  </si>
  <si>
    <t>gsscdhaka@gmail.com</t>
  </si>
  <si>
    <t>www.gssc.gov.bd</t>
  </si>
  <si>
    <t>Government Bangla College</t>
  </si>
  <si>
    <t>GBC</t>
  </si>
  <si>
    <t>Mirpur-1, Dhaka-1216</t>
  </si>
  <si>
    <t>gbc.mirpur.dhaka@gmail.com</t>
  </si>
  <si>
    <t>www.gbc.edu.bd</t>
  </si>
  <si>
    <t>Begum Badrunnesa Government College</t>
  </si>
  <si>
    <t>BBGGC</t>
  </si>
  <si>
    <t>7, Bakshi Bazar, Dhaka-1211</t>
  </si>
  <si>
    <t>bbggc.dhaka@gmail.com</t>
  </si>
  <si>
    <t>www.bbggc.gov.bd</t>
  </si>
  <si>
    <t xml:space="preserve">9.Specialized University </t>
  </si>
  <si>
    <t>Bangabandhu Maritime University</t>
  </si>
  <si>
    <t>BSMRMU</t>
  </si>
  <si>
    <t>Pallabi, Dhaka-1216</t>
  </si>
  <si>
    <t>registrar@bsmrmu.edu.bd</t>
  </si>
  <si>
    <t>https://bsmrmu.edu.bd</t>
  </si>
  <si>
    <t>https://admission.bsmrmu.edu.bd</t>
  </si>
  <si>
    <t>Bangladesh Oceanographic Research Institute</t>
  </si>
  <si>
    <t>BORI</t>
  </si>
  <si>
    <t>Cox's Bazar</t>
  </si>
  <si>
    <t>info@bori.gov.bd</t>
  </si>
  <si>
    <t>bori.gov.bd</t>
  </si>
  <si>
    <t xml:space="preserve">Specialized University </t>
  </si>
  <si>
    <t>BSMR Aviation and Aerospace University</t>
  </si>
  <si>
    <t>BSMRAAU</t>
  </si>
  <si>
    <t>Lalmonirhat &amp; Dhaka</t>
  </si>
  <si>
    <t>admission@aaub.edu.bd</t>
  </si>
  <si>
    <t>https://aaub.edu.bd</t>
  </si>
  <si>
    <t>http://aaub.teletalk.com.bd</t>
  </si>
  <si>
    <t>Tejgaon, Dhaka-1215</t>
  </si>
  <si>
    <t>registrar@bsmraau.edu.bd</t>
  </si>
  <si>
    <t>https://bsmraau.edu.bd</t>
  </si>
  <si>
    <t>https://admission.bsmraau.edu.bd</t>
  </si>
  <si>
    <t>Islamic Arabic University</t>
  </si>
  <si>
    <t>IAU</t>
  </si>
  <si>
    <t>Mohammadpur, Dhaka</t>
  </si>
  <si>
    <t>iauregistr@gmail.com</t>
  </si>
  <si>
    <t>iau.edu.bd</t>
  </si>
  <si>
    <t>Narayanganj Marine Institute</t>
  </si>
  <si>
    <t>NMI-N</t>
  </si>
  <si>
    <t>Narayanganj</t>
  </si>
  <si>
    <t>info@nmi.gov.bd</t>
  </si>
  <si>
    <t>nmi.gov.bd</t>
  </si>
  <si>
    <t>Sylhet Medical University</t>
  </si>
  <si>
    <t>SMU</t>
  </si>
  <si>
    <t>Sylhet</t>
  </si>
  <si>
    <t>info@smu.edu.bd</t>
  </si>
  <si>
    <t>smu.edu.bd</t>
  </si>
  <si>
    <t>10.Affiliate College</t>
  </si>
  <si>
    <t>Sheikh Rehana Textile Engineering College</t>
  </si>
  <si>
    <t>SRTEC</t>
  </si>
  <si>
    <t>Gopalganj</t>
  </si>
  <si>
    <t>srtec@dot.gov.bd</t>
  </si>
  <si>
    <t>https://srtec.gov.bd</t>
  </si>
  <si>
    <t>dot.teletalk.com.bd</t>
  </si>
  <si>
    <t>Sheikh Kamal Textile Engineering College</t>
  </si>
  <si>
    <t>SKTEC</t>
  </si>
  <si>
    <t>Jhenaidah</t>
  </si>
  <si>
    <t>sktecj@gmail.com</t>
  </si>
  <si>
    <t>https://sktec.gov.bd</t>
  </si>
  <si>
    <t>Affiliate College</t>
  </si>
  <si>
    <t>Shahid Abdur Rab Serniabat Textile Engi. College</t>
  </si>
  <si>
    <t>SARSTEC</t>
  </si>
  <si>
    <t>Barishal</t>
  </si>
  <si>
    <t>sarstec@yahoo.com</t>
  </si>
  <si>
    <t>https://sarstec.ac.bd</t>
  </si>
  <si>
    <t>Rangpur Textile Engineering College</t>
  </si>
  <si>
    <t>RTEC</t>
  </si>
  <si>
    <t>Pirganj, Rangpur</t>
  </si>
  <si>
    <t>rtec.rangpur@gmail.com</t>
  </si>
  <si>
    <t>https://rtec.rangpur.gov.bd</t>
  </si>
  <si>
    <t>dot.gov.bd</t>
  </si>
  <si>
    <t>Rangpur Engineering College</t>
  </si>
  <si>
    <t>REC</t>
  </si>
  <si>
    <t>Rangpur</t>
  </si>
  <si>
    <t>info@rec.ac.bd</t>
  </si>
  <si>
    <t>rec.ac.bd</t>
  </si>
  <si>
    <t>admission.ru.ac.bd</t>
  </si>
  <si>
    <t>Rajshahi Institute of Biosciences</t>
  </si>
  <si>
    <t>RIBS</t>
  </si>
  <si>
    <t>Rajshahi</t>
  </si>
  <si>
    <t>info@ribs.ac.bd</t>
  </si>
  <si>
    <t>ribs.ac.bd</t>
  </si>
  <si>
    <t>Pabna Textile Engineering College</t>
  </si>
  <si>
    <t>PTEC</t>
  </si>
  <si>
    <t>Shalgaria, Pabna</t>
  </si>
  <si>
    <t>ptec_pab@yahoo.com</t>
  </si>
  <si>
    <t>https://ptec.pabna.gov.bd</t>
  </si>
  <si>
    <t>Pabna Engineering College</t>
  </si>
  <si>
    <t>PEC</t>
  </si>
  <si>
    <t>Pabna</t>
  </si>
  <si>
    <t>info@pec.ac.bd</t>
  </si>
  <si>
    <t>pec.ac.bd</t>
  </si>
  <si>
    <t>Noakhali Textile Engineering College</t>
  </si>
  <si>
    <t>TECN</t>
  </si>
  <si>
    <t>Begumgonj</t>
  </si>
  <si>
    <t>tecn_n@yahoo.com</t>
  </si>
  <si>
    <t>https://tecn.noakhali.gov.bd</t>
  </si>
  <si>
    <t>National Maritime Institute</t>
  </si>
  <si>
    <t>NMI</t>
  </si>
  <si>
    <t>Chattogram</t>
  </si>
  <si>
    <t>https://nmi.gov.bd</t>
  </si>
  <si>
    <t>National Institute of Textile Engineering and Research</t>
  </si>
  <si>
    <t>NITER</t>
  </si>
  <si>
    <t>Savar, Dhaka</t>
  </si>
  <si>
    <t>info@niter.edu.bd</t>
  </si>
  <si>
    <t>niter.edu.bd</t>
  </si>
  <si>
    <t>Mymensingh Engineering College</t>
  </si>
  <si>
    <t>MEC</t>
  </si>
  <si>
    <t>Mymensingh</t>
  </si>
  <si>
    <t>principal@mec.ac.bd</t>
  </si>
  <si>
    <t>mec.ac.bd</t>
  </si>
  <si>
    <t>eis.du.ac.bd</t>
  </si>
  <si>
    <t>Marine Fisheries Academy</t>
  </si>
  <si>
    <t>MFA</t>
  </si>
  <si>
    <t>info@mfacademy.gov.bd</t>
  </si>
  <si>
    <t>https://mfacademy.gov.bd</t>
  </si>
  <si>
    <t>mfacademy.gov.bd</t>
  </si>
  <si>
    <t>Jamalpur Textile Engineering College</t>
  </si>
  <si>
    <t>JTEC</t>
  </si>
  <si>
    <t>Jamalpur</t>
  </si>
  <si>
    <t>jtec@dot.gov.bd</t>
  </si>
  <si>
    <t>jtec.gov.bd</t>
  </si>
  <si>
    <t>Gopalganj Textile Engineering College</t>
  </si>
  <si>
    <t>GTEC</t>
  </si>
  <si>
    <t>Gopinathpur, Gopalganj</t>
  </si>
  <si>
    <t>principal.gtec@dot.gov.bd</t>
  </si>
  <si>
    <t>https://gtec.gov.bd</t>
  </si>
  <si>
    <t>https://dot.teletalk.com.bd</t>
  </si>
  <si>
    <t>Faridpur Engineering College</t>
  </si>
  <si>
    <t>FEC</t>
  </si>
  <si>
    <t>Faridpur</t>
  </si>
  <si>
    <t>fec_bd@yahoo.com</t>
  </si>
  <si>
    <t>fec.ac.bd</t>
  </si>
  <si>
    <t>Dr. M A Wazed Miah Textile Engineering College</t>
  </si>
  <si>
    <t>MAWMTEC</t>
  </si>
  <si>
    <t>principal.mawmtec@dot.gov.bd</t>
  </si>
  <si>
    <t>https://mawmtec.gov.bd</t>
  </si>
  <si>
    <t>College of Home Economics</t>
  </si>
  <si>
    <t>CHE</t>
  </si>
  <si>
    <t>Azimpur, Dhaka</t>
  </si>
  <si>
    <t>info@che.edu.bd</t>
  </si>
  <si>
    <t>che.gov.bd</t>
  </si>
  <si>
    <t>Chittagong Textile Engineering College</t>
  </si>
  <si>
    <t>CTEC</t>
  </si>
  <si>
    <t>principal@ctec.gov.bd</t>
  </si>
  <si>
    <t>ctec.gov.bd</t>
  </si>
  <si>
    <t>Barishal Engineering College</t>
  </si>
  <si>
    <t>BEC</t>
  </si>
  <si>
    <t>principal@bec.ac.bd</t>
  </si>
  <si>
    <t>bec.ac.bd</t>
  </si>
  <si>
    <t>Bangladesh Marine Academy</t>
  </si>
  <si>
    <t>8802334421160</t>
  </si>
  <si>
    <t>BMA</t>
  </si>
  <si>
    <t>1962</t>
  </si>
  <si>
    <t>info@macademy.gov.bd</t>
  </si>
  <si>
    <t>https://macademy.gov.bd</t>
  </si>
  <si>
    <t>bsmrmu.edu.bd</t>
  </si>
  <si>
    <t>200</t>
  </si>
  <si>
    <t>Bangabandhu Textile Engineering College</t>
  </si>
  <si>
    <t>BTEC</t>
  </si>
  <si>
    <t>Kalihati, Tangail</t>
  </si>
  <si>
    <t>principalbtec@gmail.com</t>
  </si>
  <si>
    <t>https://btec.tangail.gov.bd</t>
  </si>
  <si>
    <t>11.Dental College</t>
  </si>
  <si>
    <t>Sir Salimullah Medical College Dental Unit</t>
  </si>
  <si>
    <t>SSMC-DU</t>
  </si>
  <si>
    <t>Mitford Road, Babubazar, Dhaka-1100</t>
  </si>
  <si>
    <t>info@ssmc.gov.bd</t>
  </si>
  <si>
    <t>www.ssmc.gov.bd</t>
  </si>
  <si>
    <t>dgme.teletalk.com.bd</t>
  </si>
  <si>
    <t>Sher-e-Bangla Medical College Dental Unit</t>
  </si>
  <si>
    <t>SBMC-DU</t>
  </si>
  <si>
    <t>www.sbmc.edu.bd</t>
  </si>
  <si>
    <t>Shaheed Suhrawardy Medical College Dental Unit</t>
  </si>
  <si>
    <t>ShSMC-DU</t>
  </si>
  <si>
    <t>info@shsmc.gov.bd</t>
  </si>
  <si>
    <t>www.shsmc.gov.bd</t>
  </si>
  <si>
    <t>Dental College</t>
  </si>
  <si>
    <t>Rangpur Medical College Dental Unit</t>
  </si>
  <si>
    <t>RpMC-DU</t>
  </si>
  <si>
    <r>
      <rPr>
        <rFont val="Arial"/>
        <b/>
        <color rgb="FF1155CC"/>
        <u/>
      </rPr>
      <t>www.rpmedicalcollege.com</t>
    </r>
  </si>
  <si>
    <t>Rajshahi Medical College Dental Unit</t>
  </si>
  <si>
    <t>RMC-DU</t>
  </si>
  <si>
    <t>principal@rmc.ac.bd</t>
  </si>
  <si>
    <t>www.rmc.ac.bd</t>
  </si>
  <si>
    <t>Mymensingh Medical College Dental Unit</t>
  </si>
  <si>
    <t>MMC-DU</t>
  </si>
  <si>
    <t>Charpara, Mymensingh-2206</t>
  </si>
  <si>
    <t>www.mmc.gov.bd</t>
  </si>
  <si>
    <t>M.A.G. Osmani Medical College Dental Unit</t>
  </si>
  <si>
    <t>SOMC-DU</t>
  </si>
  <si>
    <t>Kajalshah, Sylhet-3100</t>
  </si>
  <si>
    <t>magomc@ac.dghs.gov.bd</t>
  </si>
  <si>
    <r>
      <rPr>
        <rFont val="Arial"/>
        <b/>
        <color rgb="FF1155CC"/>
        <u/>
      </rPr>
      <t>www.magosmanimedical.com</t>
    </r>
  </si>
  <si>
    <t>Dhaka Dental College</t>
  </si>
  <si>
    <t>DDC</t>
  </si>
  <si>
    <t>Mirpur-14, Dhaka-1206</t>
  </si>
  <si>
    <t>ddcbatchd51@gmail.com</t>
  </si>
  <si>
    <t>www.ddc.gov.bd</t>
  </si>
  <si>
    <t>Chattogram Medical College Dental Unit</t>
  </si>
  <si>
    <t>CMC-DU</t>
  </si>
  <si>
    <t>57, K.B. Fazlul Kader Road, Chattogram</t>
  </si>
  <si>
    <t>info@cmc.edu.bd</t>
  </si>
  <si>
    <t>www.cmc.edu.bd</t>
  </si>
  <si>
    <t>12.Nursing Colleges</t>
  </si>
  <si>
    <t>Sylhet Nursing College, Sylhet</t>
  </si>
  <si>
    <t>SNC</t>
  </si>
  <si>
    <t>snc@dgnm.gov.bd</t>
  </si>
  <si>
    <t>https://dgnm.gov.bd</t>
  </si>
  <si>
    <t>http://bnmc.teletalk.com.bd</t>
  </si>
  <si>
    <t>Rangpur Nursing College, Rangpur</t>
  </si>
  <si>
    <t>RpNC</t>
  </si>
  <si>
    <t>rpnc@dgnm.gov.bd</t>
  </si>
  <si>
    <t>Rajshahi Nursing College, Rajshahi</t>
  </si>
  <si>
    <t>RNC</t>
  </si>
  <si>
    <t>Laxmipur, Rajshahi</t>
  </si>
  <si>
    <t>rnc@dgnm.gov.bd</t>
  </si>
  <si>
    <t>Nursing Colleges</t>
  </si>
  <si>
    <t>Nursing Institute, Thakurgaon</t>
  </si>
  <si>
    <t>NITH</t>
  </si>
  <si>
    <t>Thakurgaon-5100</t>
  </si>
  <si>
    <t>nithakurgaon@dgnm.gov.bd</t>
  </si>
  <si>
    <t>Nursing Institute, Tangail</t>
  </si>
  <si>
    <t>NIT</t>
  </si>
  <si>
    <t>nitangail@dgnm.gov.bd</t>
  </si>
  <si>
    <t>Nursing Institute, Sirajgonj</t>
  </si>
  <si>
    <t>NIS</t>
  </si>
  <si>
    <t>nisirajganj@dgnm.gov.bd</t>
  </si>
  <si>
    <t>Nursing Institute, Sherpur</t>
  </si>
  <si>
    <t>NISH</t>
  </si>
  <si>
    <t>Sherpur-2100</t>
  </si>
  <si>
    <t>nisherpur@dgnm.gov.bd</t>
  </si>
  <si>
    <t>Nursing Institute, Satkhira</t>
  </si>
  <si>
    <t>NISAT</t>
  </si>
  <si>
    <t>nisatkhira@dgnm.gov.bd</t>
  </si>
  <si>
    <t>Nursing Institute, Rangamati</t>
  </si>
  <si>
    <t>NIRM</t>
  </si>
  <si>
    <t>nirangamati@dgnm.gov.bd</t>
  </si>
  <si>
    <t>Nursing Institute, Rajbari</t>
  </si>
  <si>
    <t>NIRB</t>
  </si>
  <si>
    <t>Rajbari-7700</t>
  </si>
  <si>
    <t>nirajbari@dgnm.gov.bd</t>
  </si>
  <si>
    <t>Nursing Institute, Pirojpur</t>
  </si>
  <si>
    <t>NIPIR</t>
  </si>
  <si>
    <t>Pirojpur-8500</t>
  </si>
  <si>
    <t>nipirojpur@dgnm.gov.bd</t>
  </si>
  <si>
    <t>Nursing Institute, Patuakhali</t>
  </si>
  <si>
    <t>NIP</t>
  </si>
  <si>
    <t>nipatuakhali@dgnm.gov.bd</t>
  </si>
  <si>
    <t>Nursing Institute, Panchagarh</t>
  </si>
  <si>
    <t>NIPAN</t>
  </si>
  <si>
    <t>Panchagarh-5000</t>
  </si>
  <si>
    <t>nipanchagarh@dgnm.gov.bd</t>
  </si>
  <si>
    <t>Nursing Institute, Pabna</t>
  </si>
  <si>
    <t>NIPB</t>
  </si>
  <si>
    <t>Pabna-6600</t>
  </si>
  <si>
    <t>nipabna@dgnm.gov.bd</t>
  </si>
  <si>
    <t>Nursing Institute, Noakhali</t>
  </si>
  <si>
    <t>NIN</t>
  </si>
  <si>
    <t>ninoakhali@dgnm.gov.bd</t>
  </si>
  <si>
    <t>Nursing Institute, Nilphamari</t>
  </si>
  <si>
    <t>NINIL</t>
  </si>
  <si>
    <t>ninilphamari@dgnm.gov.bd</t>
  </si>
  <si>
    <t>Nursing Institute, Netrokona</t>
  </si>
  <si>
    <t>NINET</t>
  </si>
  <si>
    <t>ninetrokona@dgnm.gov.bd</t>
  </si>
  <si>
    <t>Nursing Institute, Naogaon</t>
  </si>
  <si>
    <t>NINAO</t>
  </si>
  <si>
    <t>ninaogaon@dgnm.gov.bd</t>
  </si>
  <si>
    <t>Nursing Institute, Munshigonj</t>
  </si>
  <si>
    <t>NIMU</t>
  </si>
  <si>
    <t>Munshiganj-1500</t>
  </si>
  <si>
    <t>nimunshigonj@dgnm.gov.bd</t>
  </si>
  <si>
    <t>Nursing Institute, Moulavibazar</t>
  </si>
  <si>
    <t>NIMV</t>
  </si>
  <si>
    <t>Moulavibazar-3200</t>
  </si>
  <si>
    <t>nimoulavibazar@dgnm.gov.bd</t>
  </si>
  <si>
    <t>Nursing Institute, Mitford, Dhaka</t>
  </si>
  <si>
    <t>NIMD</t>
  </si>
  <si>
    <t>nimitford@dgnm.gov.bd</t>
  </si>
  <si>
    <t>Nursing Institute, Magura</t>
  </si>
  <si>
    <t>NIMAG</t>
  </si>
  <si>
    <t>nimagura@dgnm.gov.bd</t>
  </si>
  <si>
    <t>Nursing Institute, Madaripur</t>
  </si>
  <si>
    <t>NIMAD</t>
  </si>
  <si>
    <t>Madaripur-7900</t>
  </si>
  <si>
    <t>nimadaripur@dgnm.gov.bd</t>
  </si>
  <si>
    <t>Nursing Institute, Kushtia</t>
  </si>
  <si>
    <t>01797-800271.</t>
  </si>
  <si>
    <t>NIKU</t>
  </si>
  <si>
    <t>nikushtia@dgnm.gov.bd</t>
  </si>
  <si>
    <t>Nursing Institute, Kurigram</t>
  </si>
  <si>
    <t>NIKR</t>
  </si>
  <si>
    <t>Kurigram-5600</t>
  </si>
  <si>
    <t>nikurigram@dgnm.gov.bd</t>
  </si>
  <si>
    <t>Nursing Institute, Kishoregonj</t>
  </si>
  <si>
    <t>NIKIS</t>
  </si>
  <si>
    <t>nikishoregonj@dgnm.gov.bd</t>
  </si>
  <si>
    <t>Nursing Institute, Khulna</t>
  </si>
  <si>
    <t>NIK</t>
  </si>
  <si>
    <t>nikhulna@dgnm.gov.bd</t>
  </si>
  <si>
    <t>Nursing Institute, Joypurhat</t>
  </si>
  <si>
    <t>NIJY</t>
  </si>
  <si>
    <t>Joypurhat-5900</t>
  </si>
  <si>
    <t>nijoypurhat@dgnm.gov.bd</t>
  </si>
  <si>
    <t>Nursing Institute, Jhenaidah</t>
  </si>
  <si>
    <t>NIJHE</t>
  </si>
  <si>
    <t>Jhenaidah-7300</t>
  </si>
  <si>
    <t>nijhenaidah@dgnm.gov.bd</t>
  </si>
  <si>
    <t>Nursing Institute, Jessore</t>
  </si>
  <si>
    <t>NIJ</t>
  </si>
  <si>
    <t>nijashore@dgnm.gov.bd</t>
  </si>
  <si>
    <t>Nursing Institute, Jamalpur</t>
  </si>
  <si>
    <t>NIJAM</t>
  </si>
  <si>
    <t>Jamalpur-2000</t>
  </si>
  <si>
    <t>nijamalpur@dgnm.gov.bd</t>
  </si>
  <si>
    <t>Nursing Institute, Hobigonj</t>
  </si>
  <si>
    <t>NIHOB</t>
  </si>
  <si>
    <t>nihobigonj@dgnm.gov.bd</t>
  </si>
  <si>
    <t>Nursing Institute, Gopalgonj</t>
  </si>
  <si>
    <t>NIGOP</t>
  </si>
  <si>
    <t>nigopalgonj@dgnm.gov.bd</t>
  </si>
  <si>
    <t>Nursing Institute, Feni</t>
  </si>
  <si>
    <t>NIFE</t>
  </si>
  <si>
    <t>Feni-3900</t>
  </si>
  <si>
    <t>nifeni@dgnm.gov.bd</t>
  </si>
  <si>
    <t>Nursing Institute, Faridpur</t>
  </si>
  <si>
    <t>NIF</t>
  </si>
  <si>
    <t>nifaridpur@dgnm.gov.bd</t>
  </si>
  <si>
    <t>Nursing Institute, Dinajpur</t>
  </si>
  <si>
    <t>NID</t>
  </si>
  <si>
    <t>nidinajpur@dgnm.gov.bd</t>
  </si>
  <si>
    <t>Nursing Institute, Cox’s Bazar</t>
  </si>
  <si>
    <t>NICX</t>
  </si>
  <si>
    <t>nicoxsbazar@dgnm.gov.bd</t>
  </si>
  <si>
    <t>Nursing Institute, Comilla</t>
  </si>
  <si>
    <t>NIC</t>
  </si>
  <si>
    <t>nicumilla@dgnm.gov.bd</t>
  </si>
  <si>
    <t>Nursing Institute, Chuadanga</t>
  </si>
  <si>
    <t>NICHU</t>
  </si>
  <si>
    <t>Chuadanga-7200</t>
  </si>
  <si>
    <t>nichuadanga@dgnm.gov.bd</t>
  </si>
  <si>
    <t>Nursing Institute, Chapai Nawabgonj</t>
  </si>
  <si>
    <t>NICN</t>
  </si>
  <si>
    <t>Chapai Nawabgonj-6300</t>
  </si>
  <si>
    <t>nichapai@dgnm.gov.bd</t>
  </si>
  <si>
    <t>Nursing Institute, Chandpur</t>
  </si>
  <si>
    <t>NICHN</t>
  </si>
  <si>
    <t>nichandpur@dgnm.gov.bd</t>
  </si>
  <si>
    <t>Nursing Institute, Brahmanbaria</t>
  </si>
  <si>
    <t>NIBB</t>
  </si>
  <si>
    <t>Brahmanbaria-3400</t>
  </si>
  <si>
    <t>nibbaria@dgnm.gov.bd</t>
  </si>
  <si>
    <t>Nursing Institute, Bogra</t>
  </si>
  <si>
    <t>NIB</t>
  </si>
  <si>
    <t>nibogura@dgnm.gov.bd</t>
  </si>
  <si>
    <t>Nursing Institute, Bhola</t>
  </si>
  <si>
    <t>NIBHO</t>
  </si>
  <si>
    <t>Bhola-8300</t>
  </si>
  <si>
    <t>nibhola@dgnm.gov.bd</t>
  </si>
  <si>
    <t>Nursing Institute, Barguna</t>
  </si>
  <si>
    <t>NIBAR</t>
  </si>
  <si>
    <t>Barguna-8700</t>
  </si>
  <si>
    <t>nibarguna@dgnm.gov.bd</t>
  </si>
  <si>
    <t>Nursing Institute, Bagerhat</t>
  </si>
  <si>
    <t>NIBA</t>
  </si>
  <si>
    <t>Bagerhat-9300</t>
  </si>
  <si>
    <t>nibagerhat@dgnm.gov.bd</t>
  </si>
  <si>
    <t>Mymensingh Nursing College</t>
  </si>
  <si>
    <t>MNC</t>
  </si>
  <si>
    <t>mnc@dgnm.gov.bd</t>
  </si>
  <si>
    <t>Khulna Nursing College</t>
  </si>
  <si>
    <t>KNC</t>
  </si>
  <si>
    <t>Boyra, Khulna</t>
  </si>
  <si>
    <t>knc@dgnm.gov.bd</t>
  </si>
  <si>
    <t>Fauzderhat Nursing College, Chittagong</t>
  </si>
  <si>
    <t>FNC</t>
  </si>
  <si>
    <t>Sagarika, Chattogram</t>
  </si>
  <si>
    <t>fnc@dgnm.gov.bd</t>
  </si>
  <si>
    <t>Dhaka Nursing College, Dhaka</t>
  </si>
  <si>
    <t>DNC</t>
  </si>
  <si>
    <t>dnc@dgnm.gov.bd</t>
  </si>
  <si>
    <t>College of Nursing, Mohakhali, Dhaka</t>
  </si>
  <si>
    <t>CONM</t>
  </si>
  <si>
    <t>Mohakhali, Dhaka</t>
  </si>
  <si>
    <t>info@dgnm.gov.bd</t>
  </si>
  <si>
    <t>Chittagong Nursing College, Chittagong</t>
  </si>
  <si>
    <t>CNC</t>
  </si>
  <si>
    <t>cnc@dgnm.gov.bd</t>
  </si>
  <si>
    <t>Bogra Nursing College, Bogra</t>
  </si>
  <si>
    <t>BNCB</t>
  </si>
  <si>
    <t>bncb@dgnm.gov.bd</t>
  </si>
  <si>
    <t>Barisal Nursing College, Barisal</t>
  </si>
  <si>
    <t>BNC</t>
  </si>
  <si>
    <t>Band Road, Barishal</t>
  </si>
  <si>
    <t>bnc@dgnm.gov.bd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</si>
</sst>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b/>
      <color rgb="FF1F1F1F"/>
      <name val="Arial"/>
    </font>
    <font>
      <b/>
      <u/>
      <color rgb="FF1F1F1F"/>
      <name val="Arial"/>
    </font>
    <font>
      <b/>
      <color rgb="FF000000"/>
      <name val="Arial"/>
    </font>
    <font>
      <b/>
      <u/>
      <color rgb="FF000000"/>
      <name val="Arial"/>
    </font>
    <font>
      <b/>
      <u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u/>
      <color rgb="FF9F545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1" numFmtId="3" xfId="0" applyAlignment="1" applyBorder="1" applyFont="1" applyNumberFormat="1">
      <alignment horizontal="center" readingOrder="0" shrinkToFit="0" wrapText="1"/>
    </xf>
    <xf borderId="1" fillId="2" fontId="1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1" fillId="2" fontId="6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8" numFmtId="0" xfId="0" applyAlignment="1" applyBorder="1" applyFont="1">
      <alignment horizontal="center" readingOrder="0" shrinkToFit="0" vertical="bottom" wrapText="1"/>
    </xf>
    <xf borderId="1" fillId="2" fontId="5" numFmtId="49" xfId="0" applyAlignment="1" applyBorder="1" applyFont="1" applyNumberFormat="1">
      <alignment horizontal="center" shrinkToFit="0" vertical="bottom" wrapText="1"/>
    </xf>
    <xf borderId="1" fillId="2" fontId="9" numFmtId="0" xfId="0" applyAlignment="1" applyBorder="1" applyFont="1">
      <alignment horizontal="center" shrinkToFit="0" vertical="bottom" wrapText="1"/>
    </xf>
    <xf borderId="1" fillId="2" fontId="10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A2E8F1"/>
          <bgColor rgb="FFA2E8F1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4" pivot="0" name="Sheet1-style 3">
      <tableStyleElement dxfId="3" type="headerRow"/>
      <tableStyleElement dxfId="4" type="firstRowStripe"/>
      <tableStyleElement dxfId="5" type="secondRowStripe"/>
      <tableStyleElement dxfId="6" type="totalRow"/>
    </tableStyle>
    <tableStyle count="2" pivot="0" name="Sheet1-style 4">
      <tableStyleElement dxfId="4" type="firstRowStripe"/>
      <tableStyleElement dxfId="7" type="secondRowStripe"/>
    </tableStyle>
    <tableStyle count="2" pivot="0" name="Sheet1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9:Z22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0:Z3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totalsRowCount="1" headerRowCount="0" ref="A138:Z138" displayName="Table_3" name="Table_3" id="3">
  <tableColumns count="26">
    <tableColumn totalsRowLabel="10.Affiliate College" name="Column1" id="1"/>
    <tableColumn totalsRowLabel="Bangladesh Marine Academy" name="Column2" id="2"/>
    <tableColumn totalsRowLabel="8802334421160" name="Column3" id="3"/>
    <tableColumn totalsRowLabel="BMA" name="Column4" id="4"/>
    <tableColumn totalsRowLabel="1962" name="Column5" id="5"/>
    <tableColumn totalsRowLabel="Chattogram" name="Column6" id="6"/>
    <tableColumn totalsRowLabel="info@macademy.gov.bd" name="Column7" id="7"/>
    <tableColumn totalsRowLabel="https://macademy.gov.bd" name="Column8" id="8"/>
    <tableColumn totalsRowLabel="bsmrmu.edu.bd" name="Column9" id="9"/>
    <tableColumn totalsRowLabel="200" name="Column10" id="10"/>
    <tableColumn totalsRowLabel="200" name="Column11" id="11"/>
    <tableColumn totalsRowLabel="N/A" name="Column12" id="12"/>
    <tableColumn totalsRowLabel="N/A" name="Column13" id="13"/>
    <tableColumn totalsRowLabel="Affiliate College"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N139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58:Z202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ibasavar.edu.bd/admission" TargetMode="External"/><Relationship Id="rId194" Type="http://schemas.openxmlformats.org/officeDocument/2006/relationships/hyperlink" Target="http://afmc.teletalk.com.bd/" TargetMode="External"/><Relationship Id="rId193" Type="http://schemas.openxmlformats.org/officeDocument/2006/relationships/hyperlink" Target="https://amcrbd.org/" TargetMode="External"/><Relationship Id="rId192" Type="http://schemas.openxmlformats.org/officeDocument/2006/relationships/hyperlink" Target="http://afmc.teletalk.com.bd/" TargetMode="External"/><Relationship Id="rId191" Type="http://schemas.openxmlformats.org/officeDocument/2006/relationships/hyperlink" Target="https://nmcc.edu.bd/" TargetMode="External"/><Relationship Id="rId187" Type="http://schemas.openxmlformats.org/officeDocument/2006/relationships/hyperlink" Target="https://aibasylhet.edu.bd" TargetMode="External"/><Relationship Id="rId186" Type="http://schemas.openxmlformats.org/officeDocument/2006/relationships/hyperlink" Target="https://joinairforce.baf.mil.bd" TargetMode="External"/><Relationship Id="rId185" Type="http://schemas.openxmlformats.org/officeDocument/2006/relationships/hyperlink" Target="https://bafa.mil.bd" TargetMode="External"/><Relationship Id="rId184" Type="http://schemas.openxmlformats.org/officeDocument/2006/relationships/hyperlink" Target="https://joinnavy.navy.mil.bd" TargetMode="External"/><Relationship Id="rId189" Type="http://schemas.openxmlformats.org/officeDocument/2006/relationships/hyperlink" Target="https://aibasavar.edu.bd" TargetMode="External"/><Relationship Id="rId188" Type="http://schemas.openxmlformats.org/officeDocument/2006/relationships/hyperlink" Target="https://aibasylhet.edu.bd/admission" TargetMode="External"/><Relationship Id="rId183" Type="http://schemas.openxmlformats.org/officeDocument/2006/relationships/hyperlink" Target="https://bna.navy.mil.bd" TargetMode="External"/><Relationship Id="rId182" Type="http://schemas.openxmlformats.org/officeDocument/2006/relationships/hyperlink" Target="http://admission.bup.edu.bd" TargetMode="External"/><Relationship Id="rId181" Type="http://schemas.openxmlformats.org/officeDocument/2006/relationships/hyperlink" Target="http://bup.edu.bd" TargetMode="External"/><Relationship Id="rId180" Type="http://schemas.openxmlformats.org/officeDocument/2006/relationships/hyperlink" Target="https://admission.mist.ac.bd" TargetMode="External"/><Relationship Id="rId176" Type="http://schemas.openxmlformats.org/officeDocument/2006/relationships/hyperlink" Target="https://acas.edu.bd" TargetMode="External"/><Relationship Id="rId297" Type="http://schemas.openxmlformats.org/officeDocument/2006/relationships/hyperlink" Target="https://dgnm.gov.bd" TargetMode="External"/><Relationship Id="rId175" Type="http://schemas.openxmlformats.org/officeDocument/2006/relationships/hyperlink" Target="https://www.bau.edu.bd" TargetMode="External"/><Relationship Id="rId296" Type="http://schemas.openxmlformats.org/officeDocument/2006/relationships/hyperlink" Target="http://bnmc.teletalk.com.bd" TargetMode="External"/><Relationship Id="rId174" Type="http://schemas.openxmlformats.org/officeDocument/2006/relationships/hyperlink" Target="https://acas.edu.bd" TargetMode="External"/><Relationship Id="rId295" Type="http://schemas.openxmlformats.org/officeDocument/2006/relationships/hyperlink" Target="https://dgnm.gov.bd" TargetMode="External"/><Relationship Id="rId173" Type="http://schemas.openxmlformats.org/officeDocument/2006/relationships/hyperlink" Target="https://www.cvasu.ac.bd" TargetMode="External"/><Relationship Id="rId294" Type="http://schemas.openxmlformats.org/officeDocument/2006/relationships/hyperlink" Target="http://dgme.teletalk.com.bd" TargetMode="External"/><Relationship Id="rId179" Type="http://schemas.openxmlformats.org/officeDocument/2006/relationships/hyperlink" Target="https://mist.ac.bd" TargetMode="External"/><Relationship Id="rId178" Type="http://schemas.openxmlformats.org/officeDocument/2006/relationships/hyperlink" Target="https://acas.edu.bd" TargetMode="External"/><Relationship Id="rId299" Type="http://schemas.openxmlformats.org/officeDocument/2006/relationships/hyperlink" Target="https://dgnm.gov.bd" TargetMode="External"/><Relationship Id="rId177" Type="http://schemas.openxmlformats.org/officeDocument/2006/relationships/hyperlink" Target="https://bsmrau.edu.bd" TargetMode="External"/><Relationship Id="rId298" Type="http://schemas.openxmlformats.org/officeDocument/2006/relationships/hyperlink" Target="http://bnmc.teletalk.com.bd" TargetMode="External"/><Relationship Id="rId198" Type="http://schemas.openxmlformats.org/officeDocument/2006/relationships/hyperlink" Target="http://afmc.teletalk.com.bd/" TargetMode="External"/><Relationship Id="rId197" Type="http://schemas.openxmlformats.org/officeDocument/2006/relationships/hyperlink" Target="https://amccomilla.edu.bd/" TargetMode="External"/><Relationship Id="rId196" Type="http://schemas.openxmlformats.org/officeDocument/2006/relationships/hyperlink" Target="http://afmc.teletalk.com.bd/" TargetMode="External"/><Relationship Id="rId195" Type="http://schemas.openxmlformats.org/officeDocument/2006/relationships/hyperlink" Target="https://amcj.edu.bd/" TargetMode="External"/><Relationship Id="rId199" Type="http://schemas.openxmlformats.org/officeDocument/2006/relationships/hyperlink" Target="https://amcc.edu.bd/" TargetMode="External"/><Relationship Id="rId150" Type="http://schemas.openxmlformats.org/officeDocument/2006/relationships/hyperlink" Target="https://dgme.teletalk.com.bd" TargetMode="External"/><Relationship Id="rId271" Type="http://schemas.openxmlformats.org/officeDocument/2006/relationships/hyperlink" Target="http://bec.ac.bd/" TargetMode="External"/><Relationship Id="rId392" Type="http://schemas.openxmlformats.org/officeDocument/2006/relationships/hyperlink" Target="http://bnmc.teletalk.com.bd" TargetMode="External"/><Relationship Id="rId270" Type="http://schemas.openxmlformats.org/officeDocument/2006/relationships/hyperlink" Target="http://dot.teletalk.com.bd" TargetMode="External"/><Relationship Id="rId391" Type="http://schemas.openxmlformats.org/officeDocument/2006/relationships/hyperlink" Target="https://dgnm.gov.bd" TargetMode="External"/><Relationship Id="rId390" Type="http://schemas.openxmlformats.org/officeDocument/2006/relationships/hyperlink" Target="http://bnmc.teletalk.com.bd" TargetMode="External"/><Relationship Id="rId1" Type="http://schemas.openxmlformats.org/officeDocument/2006/relationships/hyperlink" Target="http://www.nu.ac.bd" TargetMode="External"/><Relationship Id="rId2" Type="http://schemas.openxmlformats.org/officeDocument/2006/relationships/hyperlink" Target="http://www.nu.ac.bd/admissions" TargetMode="External"/><Relationship Id="rId3" Type="http://schemas.openxmlformats.org/officeDocument/2006/relationships/hyperlink" Target="http://www.du.ac.bd" TargetMode="External"/><Relationship Id="rId149" Type="http://schemas.openxmlformats.org/officeDocument/2006/relationships/hyperlink" Target="https://cmmc.gov.bd" TargetMode="External"/><Relationship Id="rId4" Type="http://schemas.openxmlformats.org/officeDocument/2006/relationships/hyperlink" Target="http://admission.eis.du.ac.bd" TargetMode="External"/><Relationship Id="rId148" Type="http://schemas.openxmlformats.org/officeDocument/2006/relationships/hyperlink" Target="https://dgme.teletalk.com.bd" TargetMode="External"/><Relationship Id="rId269" Type="http://schemas.openxmlformats.org/officeDocument/2006/relationships/hyperlink" Target="http://ctec.gov.bd" TargetMode="External"/><Relationship Id="rId9" Type="http://schemas.openxmlformats.org/officeDocument/2006/relationships/hyperlink" Target="https://cu.ac.bd" TargetMode="External"/><Relationship Id="rId143" Type="http://schemas.openxmlformats.org/officeDocument/2006/relationships/hyperlink" Target="https://dmc.gov.bd" TargetMode="External"/><Relationship Id="rId264" Type="http://schemas.openxmlformats.org/officeDocument/2006/relationships/hyperlink" Target="http://eis.du.ac.bd" TargetMode="External"/><Relationship Id="rId385" Type="http://schemas.openxmlformats.org/officeDocument/2006/relationships/hyperlink" Target="https://dgnm.gov.bd" TargetMode="External"/><Relationship Id="rId142" Type="http://schemas.openxmlformats.org/officeDocument/2006/relationships/hyperlink" Target="https://dgme.teletalk.com.bd" TargetMode="External"/><Relationship Id="rId263" Type="http://schemas.openxmlformats.org/officeDocument/2006/relationships/hyperlink" Target="http://fec.ac.bd" TargetMode="External"/><Relationship Id="rId384" Type="http://schemas.openxmlformats.org/officeDocument/2006/relationships/hyperlink" Target="http://bnmc.teletalk.com.bd" TargetMode="External"/><Relationship Id="rId141" Type="http://schemas.openxmlformats.org/officeDocument/2006/relationships/hyperlink" Target="https://bsmmcf.gov.bd" TargetMode="External"/><Relationship Id="rId262" Type="http://schemas.openxmlformats.org/officeDocument/2006/relationships/hyperlink" Target="https://dot.teletalk.com.bd" TargetMode="External"/><Relationship Id="rId383" Type="http://schemas.openxmlformats.org/officeDocument/2006/relationships/hyperlink" Target="https://dgnm.gov.bd" TargetMode="External"/><Relationship Id="rId140" Type="http://schemas.openxmlformats.org/officeDocument/2006/relationships/hyperlink" Target="https://dgme.teletalk.com.bd" TargetMode="External"/><Relationship Id="rId261" Type="http://schemas.openxmlformats.org/officeDocument/2006/relationships/hyperlink" Target="https://gtec.gov.bd" TargetMode="External"/><Relationship Id="rId382" Type="http://schemas.openxmlformats.org/officeDocument/2006/relationships/hyperlink" Target="http://bnmc.teletalk.com.bd" TargetMode="External"/><Relationship Id="rId5" Type="http://schemas.openxmlformats.org/officeDocument/2006/relationships/hyperlink" Target="http://www.iba-du.edu" TargetMode="External"/><Relationship Id="rId147" Type="http://schemas.openxmlformats.org/officeDocument/2006/relationships/hyperlink" Target="https://coxmc.gov.bd" TargetMode="External"/><Relationship Id="rId268" Type="http://schemas.openxmlformats.org/officeDocument/2006/relationships/hyperlink" Target="http://eis.du.ac.bd" TargetMode="External"/><Relationship Id="rId389" Type="http://schemas.openxmlformats.org/officeDocument/2006/relationships/hyperlink" Target="https://dgnm.gov.bd" TargetMode="External"/><Relationship Id="rId6" Type="http://schemas.openxmlformats.org/officeDocument/2006/relationships/hyperlink" Target="http://admission.eis.du.ac.bd" TargetMode="External"/><Relationship Id="rId146" Type="http://schemas.openxmlformats.org/officeDocument/2006/relationships/hyperlink" Target="https://dgme.teletalk.com.bd" TargetMode="External"/><Relationship Id="rId267" Type="http://schemas.openxmlformats.org/officeDocument/2006/relationships/hyperlink" Target="http://che.gov.bd" TargetMode="External"/><Relationship Id="rId388" Type="http://schemas.openxmlformats.org/officeDocument/2006/relationships/hyperlink" Target="http://bnmc.teletalk.com.bd" TargetMode="External"/><Relationship Id="rId7" Type="http://schemas.openxmlformats.org/officeDocument/2006/relationships/hyperlink" Target="https://www.ru.ac.bd" TargetMode="External"/><Relationship Id="rId145" Type="http://schemas.openxmlformats.org/officeDocument/2006/relationships/hyperlink" Target="https://cumc.gov.bd" TargetMode="External"/><Relationship Id="rId266" Type="http://schemas.openxmlformats.org/officeDocument/2006/relationships/hyperlink" Target="https://dot.teletalk.com.bd" TargetMode="External"/><Relationship Id="rId387" Type="http://schemas.openxmlformats.org/officeDocument/2006/relationships/hyperlink" Target="https://dgnm.gov.bd" TargetMode="External"/><Relationship Id="rId8" Type="http://schemas.openxmlformats.org/officeDocument/2006/relationships/hyperlink" Target="https://admission.ru.ac.bd" TargetMode="External"/><Relationship Id="rId144" Type="http://schemas.openxmlformats.org/officeDocument/2006/relationships/hyperlink" Target="https://dgme.teletalk.com.bd" TargetMode="External"/><Relationship Id="rId265" Type="http://schemas.openxmlformats.org/officeDocument/2006/relationships/hyperlink" Target="https://mawmtec.gov.bd/" TargetMode="External"/><Relationship Id="rId386" Type="http://schemas.openxmlformats.org/officeDocument/2006/relationships/hyperlink" Target="http://bnmc.teletalk.com.bd" TargetMode="External"/><Relationship Id="rId260" Type="http://schemas.openxmlformats.org/officeDocument/2006/relationships/hyperlink" Target="http://dot.teletalk.com.bd" TargetMode="External"/><Relationship Id="rId381" Type="http://schemas.openxmlformats.org/officeDocument/2006/relationships/hyperlink" Target="https://dgnm.gov.bd" TargetMode="External"/><Relationship Id="rId380" Type="http://schemas.openxmlformats.org/officeDocument/2006/relationships/hyperlink" Target="http://bnmc.teletalk.com.bd" TargetMode="External"/><Relationship Id="rId139" Type="http://schemas.openxmlformats.org/officeDocument/2006/relationships/hyperlink" Target="https://jmc.gov.bd" TargetMode="External"/><Relationship Id="rId138" Type="http://schemas.openxmlformats.org/officeDocument/2006/relationships/hyperlink" Target="https://dgme.teletalk.com.bd" TargetMode="External"/><Relationship Id="rId259" Type="http://schemas.openxmlformats.org/officeDocument/2006/relationships/hyperlink" Target="http://jtec.gov.bd" TargetMode="External"/><Relationship Id="rId137" Type="http://schemas.openxmlformats.org/officeDocument/2006/relationships/hyperlink" Target="https://khulnamedicalcollege.edu.bd" TargetMode="External"/><Relationship Id="rId258" Type="http://schemas.openxmlformats.org/officeDocument/2006/relationships/hyperlink" Target="http://mfacademy.gov.bd" TargetMode="External"/><Relationship Id="rId379" Type="http://schemas.openxmlformats.org/officeDocument/2006/relationships/hyperlink" Target="https://dgnm.gov.bd" TargetMode="External"/><Relationship Id="rId132" Type="http://schemas.openxmlformats.org/officeDocument/2006/relationships/hyperlink" Target="https://dgme.teletalk.com.bd" TargetMode="External"/><Relationship Id="rId253" Type="http://schemas.openxmlformats.org/officeDocument/2006/relationships/hyperlink" Target="http://niter.edu.bd" TargetMode="External"/><Relationship Id="rId374" Type="http://schemas.openxmlformats.org/officeDocument/2006/relationships/hyperlink" Target="http://bnmc.teletalk.com.bd" TargetMode="External"/><Relationship Id="rId131" Type="http://schemas.openxmlformats.org/officeDocument/2006/relationships/hyperlink" Target="https://marmcd.gov.bd" TargetMode="External"/><Relationship Id="rId252" Type="http://schemas.openxmlformats.org/officeDocument/2006/relationships/hyperlink" Target="http://nmi.gov.bd" TargetMode="External"/><Relationship Id="rId373" Type="http://schemas.openxmlformats.org/officeDocument/2006/relationships/hyperlink" Target="https://dgnm.gov.bd" TargetMode="External"/><Relationship Id="rId130" Type="http://schemas.openxmlformats.org/officeDocument/2006/relationships/hyperlink" Target="https://dgme.teletalk.com.bd" TargetMode="External"/><Relationship Id="rId251" Type="http://schemas.openxmlformats.org/officeDocument/2006/relationships/hyperlink" Target="http://nmi.gov.bd/" TargetMode="External"/><Relationship Id="rId372" Type="http://schemas.openxmlformats.org/officeDocument/2006/relationships/hyperlink" Target="http://bnmc.teletalk.com.bd" TargetMode="External"/><Relationship Id="rId250" Type="http://schemas.openxmlformats.org/officeDocument/2006/relationships/hyperlink" Target="http://dot.teletalk.com.bd" TargetMode="External"/><Relationship Id="rId371" Type="http://schemas.openxmlformats.org/officeDocument/2006/relationships/hyperlink" Target="https://dgnm.gov.bd" TargetMode="External"/><Relationship Id="rId136" Type="http://schemas.openxmlformats.org/officeDocument/2006/relationships/hyperlink" Target="https://dgme.gov.bd" TargetMode="External"/><Relationship Id="rId257" Type="http://schemas.openxmlformats.org/officeDocument/2006/relationships/hyperlink" Target="http://mfacademy.gov.bd/" TargetMode="External"/><Relationship Id="rId378" Type="http://schemas.openxmlformats.org/officeDocument/2006/relationships/hyperlink" Target="http://bnmc.teletalk.com.bd" TargetMode="External"/><Relationship Id="rId135" Type="http://schemas.openxmlformats.org/officeDocument/2006/relationships/hyperlink" Target="https://kmu.ac.bd" TargetMode="External"/><Relationship Id="rId256" Type="http://schemas.openxmlformats.org/officeDocument/2006/relationships/hyperlink" Target="http://eis.du.ac.bd" TargetMode="External"/><Relationship Id="rId377" Type="http://schemas.openxmlformats.org/officeDocument/2006/relationships/hyperlink" Target="https://dgnm.gov.bd" TargetMode="External"/><Relationship Id="rId134" Type="http://schemas.openxmlformats.org/officeDocument/2006/relationships/hyperlink" Target="https://dgme.teletalk.com.bd" TargetMode="External"/><Relationship Id="rId255" Type="http://schemas.openxmlformats.org/officeDocument/2006/relationships/hyperlink" Target="http://mec.ac.bd" TargetMode="External"/><Relationship Id="rId376" Type="http://schemas.openxmlformats.org/officeDocument/2006/relationships/hyperlink" Target="http://bnmc.teletalk.com.bd" TargetMode="External"/><Relationship Id="rId133" Type="http://schemas.openxmlformats.org/officeDocument/2006/relationships/hyperlink" Target="https://kumc.gov.bd" TargetMode="External"/><Relationship Id="rId254" Type="http://schemas.openxmlformats.org/officeDocument/2006/relationships/hyperlink" Target="http://niter.edu.bd" TargetMode="External"/><Relationship Id="rId375" Type="http://schemas.openxmlformats.org/officeDocument/2006/relationships/hyperlink" Target="https://dgnm.gov.bd" TargetMode="External"/><Relationship Id="rId172" Type="http://schemas.openxmlformats.org/officeDocument/2006/relationships/hyperlink" Target="https://acas.edu.bd" TargetMode="External"/><Relationship Id="rId293" Type="http://schemas.openxmlformats.org/officeDocument/2006/relationships/hyperlink" Target="http://www.cmc.edu.bd" TargetMode="External"/><Relationship Id="rId171" Type="http://schemas.openxmlformats.org/officeDocument/2006/relationships/hyperlink" Target="https://www.hau.ac.bd" TargetMode="External"/><Relationship Id="rId292" Type="http://schemas.openxmlformats.org/officeDocument/2006/relationships/hyperlink" Target="http://dgme.teletalk.com.bd" TargetMode="External"/><Relationship Id="rId170" Type="http://schemas.openxmlformats.org/officeDocument/2006/relationships/hyperlink" Target="https://acas.edu.bd" TargetMode="External"/><Relationship Id="rId291" Type="http://schemas.openxmlformats.org/officeDocument/2006/relationships/hyperlink" Target="http://www.ddc.gov.bd" TargetMode="External"/><Relationship Id="rId290" Type="http://schemas.openxmlformats.org/officeDocument/2006/relationships/hyperlink" Target="http://dgme.teletalk.com.bd" TargetMode="External"/><Relationship Id="rId165" Type="http://schemas.openxmlformats.org/officeDocument/2006/relationships/hyperlink" Target="https://www.sau.edu.bd" TargetMode="External"/><Relationship Id="rId286" Type="http://schemas.openxmlformats.org/officeDocument/2006/relationships/hyperlink" Target="http://dgme.teletalk.com.bd" TargetMode="External"/><Relationship Id="rId164" Type="http://schemas.openxmlformats.org/officeDocument/2006/relationships/hyperlink" Target="https://acas.edu.bd" TargetMode="External"/><Relationship Id="rId285" Type="http://schemas.openxmlformats.org/officeDocument/2006/relationships/hyperlink" Target="http://www.rmc.ac.bd" TargetMode="External"/><Relationship Id="rId163" Type="http://schemas.openxmlformats.org/officeDocument/2006/relationships/hyperlink" Target="https://www.sau.ac.bd" TargetMode="External"/><Relationship Id="rId284" Type="http://schemas.openxmlformats.org/officeDocument/2006/relationships/hyperlink" Target="http://dgme.teletalk.com.bd" TargetMode="External"/><Relationship Id="rId162" Type="http://schemas.openxmlformats.org/officeDocument/2006/relationships/hyperlink" Target="https://dgme.teletalk.com.bd" TargetMode="External"/><Relationship Id="rId283" Type="http://schemas.openxmlformats.org/officeDocument/2006/relationships/hyperlink" Target="https://www.google.com/search?q=https://www.rpmedicalcollege.com" TargetMode="External"/><Relationship Id="rId169" Type="http://schemas.openxmlformats.org/officeDocument/2006/relationships/hyperlink" Target="https://www.kau.edu.bd" TargetMode="External"/><Relationship Id="rId168" Type="http://schemas.openxmlformats.org/officeDocument/2006/relationships/hyperlink" Target="https://acas.edu.bd" TargetMode="External"/><Relationship Id="rId289" Type="http://schemas.openxmlformats.org/officeDocument/2006/relationships/hyperlink" Target="https://www.magosmanimedical.com/" TargetMode="External"/><Relationship Id="rId167" Type="http://schemas.openxmlformats.org/officeDocument/2006/relationships/hyperlink" Target="https://www.kuriau.edu.bd" TargetMode="External"/><Relationship Id="rId288" Type="http://schemas.openxmlformats.org/officeDocument/2006/relationships/hyperlink" Target="http://dgme.teletalk.com.bd" TargetMode="External"/><Relationship Id="rId166" Type="http://schemas.openxmlformats.org/officeDocument/2006/relationships/hyperlink" Target="https://acas.edu.bd" TargetMode="External"/><Relationship Id="rId287" Type="http://schemas.openxmlformats.org/officeDocument/2006/relationships/hyperlink" Target="http://www.mmc.gov.bd" TargetMode="External"/><Relationship Id="rId161" Type="http://schemas.openxmlformats.org/officeDocument/2006/relationships/hyperlink" Target="https://amumc.gov.bd" TargetMode="External"/><Relationship Id="rId282" Type="http://schemas.openxmlformats.org/officeDocument/2006/relationships/hyperlink" Target="http://dgme.teletalk.com.bd" TargetMode="External"/><Relationship Id="rId160" Type="http://schemas.openxmlformats.org/officeDocument/2006/relationships/hyperlink" Target="https://admission.bsmmu.edu.bd" TargetMode="External"/><Relationship Id="rId281" Type="http://schemas.openxmlformats.org/officeDocument/2006/relationships/hyperlink" Target="http://www.shsmc.gov.bd" TargetMode="External"/><Relationship Id="rId280" Type="http://schemas.openxmlformats.org/officeDocument/2006/relationships/hyperlink" Target="http://dgme.teletalk.com.bd" TargetMode="External"/><Relationship Id="rId159" Type="http://schemas.openxmlformats.org/officeDocument/2006/relationships/hyperlink" Target="https://bsmmu.edu.bd" TargetMode="External"/><Relationship Id="rId154" Type="http://schemas.openxmlformats.org/officeDocument/2006/relationships/hyperlink" Target="https://dgme.teletalk.com.bd" TargetMode="External"/><Relationship Id="rId275" Type="http://schemas.openxmlformats.org/officeDocument/2006/relationships/hyperlink" Target="http://btec.tangail.gov.bd/" TargetMode="External"/><Relationship Id="rId396" Type="http://schemas.openxmlformats.org/officeDocument/2006/relationships/hyperlink" Target="http://bnmc.teletalk.com.bd" TargetMode="External"/><Relationship Id="rId153" Type="http://schemas.openxmlformats.org/officeDocument/2006/relationships/hyperlink" Target="https://cmc.gov.bd" TargetMode="External"/><Relationship Id="rId274" Type="http://schemas.openxmlformats.org/officeDocument/2006/relationships/hyperlink" Target="http://bsmrmu.edu.bd" TargetMode="External"/><Relationship Id="rId395" Type="http://schemas.openxmlformats.org/officeDocument/2006/relationships/hyperlink" Target="https://dgnm.gov.bd" TargetMode="External"/><Relationship Id="rId152" Type="http://schemas.openxmlformats.org/officeDocument/2006/relationships/hyperlink" Target="https://dgme.gov.bd" TargetMode="External"/><Relationship Id="rId273" Type="http://schemas.openxmlformats.org/officeDocument/2006/relationships/hyperlink" Target="http://macademy.gov.bd/" TargetMode="External"/><Relationship Id="rId394" Type="http://schemas.openxmlformats.org/officeDocument/2006/relationships/hyperlink" Target="http://bnmc.teletalk.com.bd" TargetMode="External"/><Relationship Id="rId151" Type="http://schemas.openxmlformats.org/officeDocument/2006/relationships/hyperlink" Target="https://cmu.edu.bd" TargetMode="External"/><Relationship Id="rId272" Type="http://schemas.openxmlformats.org/officeDocument/2006/relationships/hyperlink" Target="http://eis.du.ac.bd" TargetMode="External"/><Relationship Id="rId393" Type="http://schemas.openxmlformats.org/officeDocument/2006/relationships/hyperlink" Target="https://dgnm.gov.bd" TargetMode="External"/><Relationship Id="rId158" Type="http://schemas.openxmlformats.org/officeDocument/2006/relationships/hyperlink" Target="https://bsfmmu.edu.bd/admission" TargetMode="External"/><Relationship Id="rId279" Type="http://schemas.openxmlformats.org/officeDocument/2006/relationships/hyperlink" Target="http://www.sbmc.edu.bd" TargetMode="External"/><Relationship Id="rId157" Type="http://schemas.openxmlformats.org/officeDocument/2006/relationships/hyperlink" Target="https://bsfmmu.edu.bd" TargetMode="External"/><Relationship Id="rId278" Type="http://schemas.openxmlformats.org/officeDocument/2006/relationships/hyperlink" Target="http://dgme.teletalk.com.bd" TargetMode="External"/><Relationship Id="rId399" Type="http://schemas.openxmlformats.org/officeDocument/2006/relationships/hyperlink" Target="https://dgnm.gov.bd" TargetMode="External"/><Relationship Id="rId156" Type="http://schemas.openxmlformats.org/officeDocument/2006/relationships/hyperlink" Target="https://dgme.teletalk.com.bd" TargetMode="External"/><Relationship Id="rId277" Type="http://schemas.openxmlformats.org/officeDocument/2006/relationships/hyperlink" Target="http://www.ssmc.gov.bd" TargetMode="External"/><Relationship Id="rId398" Type="http://schemas.openxmlformats.org/officeDocument/2006/relationships/hyperlink" Target="http://bnmc.teletalk.com.bd" TargetMode="External"/><Relationship Id="rId155" Type="http://schemas.openxmlformats.org/officeDocument/2006/relationships/hyperlink" Target="https://chmc.gov.bd" TargetMode="External"/><Relationship Id="rId276" Type="http://schemas.openxmlformats.org/officeDocument/2006/relationships/hyperlink" Target="http://dot.gov.bd" TargetMode="External"/><Relationship Id="rId397" Type="http://schemas.openxmlformats.org/officeDocument/2006/relationships/hyperlink" Target="https://dgnm.gov.bd" TargetMode="External"/><Relationship Id="rId40" Type="http://schemas.openxmlformats.org/officeDocument/2006/relationships/hyperlink" Target="https://www.google.com/search?q=https://gstadmission.ac.bd" TargetMode="External"/><Relationship Id="rId42" Type="http://schemas.openxmlformats.org/officeDocument/2006/relationships/hyperlink" Target="https://gstadmission.ac.bd" TargetMode="External"/><Relationship Id="rId41" Type="http://schemas.openxmlformats.org/officeDocument/2006/relationships/hyperlink" Target="https://nau.ac.bd" TargetMode="External"/><Relationship Id="rId44" Type="http://schemas.openxmlformats.org/officeDocument/2006/relationships/hyperlink" Target="https://admission.kiu.ac.bd" TargetMode="External"/><Relationship Id="rId43" Type="http://schemas.openxmlformats.org/officeDocument/2006/relationships/hyperlink" Target="https://kiu.ac.bd" TargetMode="External"/><Relationship Id="rId46" Type="http://schemas.openxmlformats.org/officeDocument/2006/relationships/hyperlink" Target="https://gstadmission.ac.bd" TargetMode="External"/><Relationship Id="rId45" Type="http://schemas.openxmlformats.org/officeDocument/2006/relationships/hyperlink" Target="https://jkkniu.edu.bd" TargetMode="External"/><Relationship Id="rId48" Type="http://schemas.openxmlformats.org/officeDocument/2006/relationships/hyperlink" Target="https://gstadmission.ac.bd" TargetMode="External"/><Relationship Id="rId47" Type="http://schemas.openxmlformats.org/officeDocument/2006/relationships/hyperlink" Target="https://jstu.ac.bd" TargetMode="External"/><Relationship Id="rId49" Type="http://schemas.openxmlformats.org/officeDocument/2006/relationships/hyperlink" Target="https://iu.ac.bd" TargetMode="External"/><Relationship Id="rId31" Type="http://schemas.openxmlformats.org/officeDocument/2006/relationships/hyperlink" Target="http://www.hstu.ac.bd" TargetMode="External"/><Relationship Id="rId30" Type="http://schemas.openxmlformats.org/officeDocument/2006/relationships/hyperlink" Target="https://admission.iutoic-dhaka.edu" TargetMode="External"/><Relationship Id="rId33" Type="http://schemas.openxmlformats.org/officeDocument/2006/relationships/hyperlink" Target="https://www.uftb.ac.bd" TargetMode="External"/><Relationship Id="rId32" Type="http://schemas.openxmlformats.org/officeDocument/2006/relationships/hyperlink" Target="http://admission.hstu.ac.bd" TargetMode="External"/><Relationship Id="rId35" Type="http://schemas.openxmlformats.org/officeDocument/2006/relationships/hyperlink" Target="https://bu.ac.bd/" TargetMode="External"/><Relationship Id="rId34" Type="http://schemas.openxmlformats.org/officeDocument/2006/relationships/hyperlink" Target="https://admission.uftb.ac.bd" TargetMode="External"/><Relationship Id="rId37" Type="http://schemas.openxmlformats.org/officeDocument/2006/relationships/hyperlink" Target="https://rub.ac.bd/" TargetMode="External"/><Relationship Id="rId36" Type="http://schemas.openxmlformats.org/officeDocument/2006/relationships/hyperlink" Target="https://www.google.com/search?q=https://gstadmission.ac.bd" TargetMode="External"/><Relationship Id="rId39" Type="http://schemas.openxmlformats.org/officeDocument/2006/relationships/hyperlink" Target="https://neu.ac.bd/" TargetMode="External"/><Relationship Id="rId38" Type="http://schemas.openxmlformats.org/officeDocument/2006/relationships/hyperlink" Target="https://www.google.com/search?q=https://gstadmission.ac.bd" TargetMode="External"/><Relationship Id="rId20" Type="http://schemas.openxmlformats.org/officeDocument/2006/relationships/hyperlink" Target="http://admission.ruet.ac.bd" TargetMode="External"/><Relationship Id="rId22" Type="http://schemas.openxmlformats.org/officeDocument/2006/relationships/hyperlink" Target="http://admission.kuet.ac.bd" TargetMode="External"/><Relationship Id="rId21" Type="http://schemas.openxmlformats.org/officeDocument/2006/relationships/hyperlink" Target="http://www.kuet.ac.bd" TargetMode="External"/><Relationship Id="rId24" Type="http://schemas.openxmlformats.org/officeDocument/2006/relationships/hyperlink" Target="http://admission.cuet.ac.bd" TargetMode="External"/><Relationship Id="rId23" Type="http://schemas.openxmlformats.org/officeDocument/2006/relationships/hyperlink" Target="http://www.cuet.ac.bd" TargetMode="External"/><Relationship Id="rId409" Type="http://schemas.openxmlformats.org/officeDocument/2006/relationships/table" Target="../tables/table1.xml"/><Relationship Id="rId403" Type="http://schemas.openxmlformats.org/officeDocument/2006/relationships/drawing" Target="../drawings/drawing1.xml"/><Relationship Id="rId402" Type="http://schemas.openxmlformats.org/officeDocument/2006/relationships/hyperlink" Target="http://bnmc.teletalk.com.bd" TargetMode="External"/><Relationship Id="rId401" Type="http://schemas.openxmlformats.org/officeDocument/2006/relationships/hyperlink" Target="https://dgnm.gov.bd" TargetMode="External"/><Relationship Id="rId26" Type="http://schemas.openxmlformats.org/officeDocument/2006/relationships/hyperlink" Target="http://admission.sust.edu.bd" TargetMode="External"/><Relationship Id="rId25" Type="http://schemas.openxmlformats.org/officeDocument/2006/relationships/hyperlink" Target="http://www.sust.edu" TargetMode="External"/><Relationship Id="rId28" Type="http://schemas.openxmlformats.org/officeDocument/2006/relationships/hyperlink" Target="https://admission.duet.ac.bd/" TargetMode="External"/><Relationship Id="rId27" Type="http://schemas.openxmlformats.org/officeDocument/2006/relationships/hyperlink" Target="https://www.duet.ac.bd/" TargetMode="External"/><Relationship Id="rId400" Type="http://schemas.openxmlformats.org/officeDocument/2006/relationships/hyperlink" Target="http://bnmc.teletalk.com.bd" TargetMode="External"/><Relationship Id="rId29" Type="http://schemas.openxmlformats.org/officeDocument/2006/relationships/hyperlink" Target="https://www.iutoic-dhaka.edu" TargetMode="External"/><Relationship Id="rId11" Type="http://schemas.openxmlformats.org/officeDocument/2006/relationships/hyperlink" Target="http://www.ku.ac.bd" TargetMode="External"/><Relationship Id="rId10" Type="http://schemas.openxmlformats.org/officeDocument/2006/relationships/hyperlink" Target="https://admission.cu.ac.bd" TargetMode="External"/><Relationship Id="rId13" Type="http://schemas.openxmlformats.org/officeDocument/2006/relationships/hyperlink" Target="http://www.juniv.edu" TargetMode="External"/><Relationship Id="rId12" Type="http://schemas.openxmlformats.org/officeDocument/2006/relationships/hyperlink" Target="http://admission.ku.ac.bd" TargetMode="External"/><Relationship Id="rId15" Type="http://schemas.openxmlformats.org/officeDocument/2006/relationships/hyperlink" Target="http://www.jnu.ac.bd" TargetMode="External"/><Relationship Id="rId14" Type="http://schemas.openxmlformats.org/officeDocument/2006/relationships/hyperlink" Target="http://ju-admission.org" TargetMode="External"/><Relationship Id="rId17" Type="http://schemas.openxmlformats.org/officeDocument/2006/relationships/hyperlink" Target="http://www.buet.ac.bd" TargetMode="External"/><Relationship Id="rId16" Type="http://schemas.openxmlformats.org/officeDocument/2006/relationships/hyperlink" Target="http://admission.jnu.ac.bd" TargetMode="External"/><Relationship Id="rId19" Type="http://schemas.openxmlformats.org/officeDocument/2006/relationships/hyperlink" Target="http://www.ruet.ac.bd" TargetMode="External"/><Relationship Id="rId18" Type="http://schemas.openxmlformats.org/officeDocument/2006/relationships/hyperlink" Target="http://admission.buet.ac.bd" TargetMode="External"/><Relationship Id="rId84" Type="http://schemas.openxmlformats.org/officeDocument/2006/relationships/hyperlink" Target="https://dgme.teletalk.com.bd" TargetMode="External"/><Relationship Id="rId83" Type="http://schemas.openxmlformats.org/officeDocument/2006/relationships/hyperlink" Target="https://ssmc.gov.bd" TargetMode="External"/><Relationship Id="rId86" Type="http://schemas.openxmlformats.org/officeDocument/2006/relationships/hyperlink" Target="https://dgme.teletalk.com.bd" TargetMode="External"/><Relationship Id="rId85" Type="http://schemas.openxmlformats.org/officeDocument/2006/relationships/hyperlink" Target="https://sbmc.gov.bd" TargetMode="External"/><Relationship Id="rId88" Type="http://schemas.openxmlformats.org/officeDocument/2006/relationships/hyperlink" Target="https://dgme.teletalk.com.bd" TargetMode="External"/><Relationship Id="rId87" Type="http://schemas.openxmlformats.org/officeDocument/2006/relationships/hyperlink" Target="https://sskmc.gov.bd" TargetMode="External"/><Relationship Id="rId89" Type="http://schemas.openxmlformats.org/officeDocument/2006/relationships/hyperlink" Target="https://shmct.gov.bd" TargetMode="External"/><Relationship Id="rId80" Type="http://schemas.openxmlformats.org/officeDocument/2006/relationships/hyperlink" Target="https://gstadmission.ac.bd" TargetMode="External"/><Relationship Id="rId82" Type="http://schemas.openxmlformats.org/officeDocument/2006/relationships/hyperlink" Target="https://dgme.teletalk.com.bd" TargetMode="External"/><Relationship Id="rId81" Type="http://schemas.openxmlformats.org/officeDocument/2006/relationships/hyperlink" Target="https://bmsmc.gov.bd" TargetMode="External"/><Relationship Id="rId73" Type="http://schemas.openxmlformats.org/officeDocument/2006/relationships/hyperlink" Target="https://pust.ac.bd/" TargetMode="External"/><Relationship Id="rId72" Type="http://schemas.openxmlformats.org/officeDocument/2006/relationships/hyperlink" Target="https://www.google.com/search?q=https://gstadmission.ac.bd" TargetMode="External"/><Relationship Id="rId75" Type="http://schemas.openxmlformats.org/officeDocument/2006/relationships/hyperlink" Target="https://nstu.edu.bd/" TargetMode="External"/><Relationship Id="rId74" Type="http://schemas.openxmlformats.org/officeDocument/2006/relationships/hyperlink" Target="https://www.google.com/search?q=https://gstadmission.ac.bd" TargetMode="External"/><Relationship Id="rId77" Type="http://schemas.openxmlformats.org/officeDocument/2006/relationships/hyperlink" Target="https://just.edu.bd/" TargetMode="External"/><Relationship Id="rId76" Type="http://schemas.openxmlformats.org/officeDocument/2006/relationships/hyperlink" Target="https://www.google.com/search?q=https://gstadmission.ac.bd" TargetMode="External"/><Relationship Id="rId79" Type="http://schemas.openxmlformats.org/officeDocument/2006/relationships/hyperlink" Target="https://bdu.ac.bd" TargetMode="External"/><Relationship Id="rId78" Type="http://schemas.openxmlformats.org/officeDocument/2006/relationships/hyperlink" Target="https://www.google.com/search?q=https://gstadmission.ac.bd" TargetMode="External"/><Relationship Id="rId71" Type="http://schemas.openxmlformats.org/officeDocument/2006/relationships/hyperlink" Target="https://pstu.ac.bd/" TargetMode="External"/><Relationship Id="rId70" Type="http://schemas.openxmlformats.org/officeDocument/2006/relationships/hyperlink" Target="https://www.google.com/search?q=https://gstadmission.ac.bd" TargetMode="External"/><Relationship Id="rId62" Type="http://schemas.openxmlformats.org/officeDocument/2006/relationships/hyperlink" Target="https://www.google.com/search?q=https://gstadmission.ac.bd" TargetMode="External"/><Relationship Id="rId61" Type="http://schemas.openxmlformats.org/officeDocument/2006/relationships/hyperlink" Target="https://mbstu.ac.bd/" TargetMode="External"/><Relationship Id="rId64" Type="http://schemas.openxmlformats.org/officeDocument/2006/relationships/hyperlink" Target="https://gstadmission.ac.bd" TargetMode="External"/><Relationship Id="rId63" Type="http://schemas.openxmlformats.org/officeDocument/2006/relationships/hyperlink" Target="https://sstu.ac.bd" TargetMode="External"/><Relationship Id="rId66" Type="http://schemas.openxmlformats.org/officeDocument/2006/relationships/hyperlink" Target="http://gstadmission.ac.bd" TargetMode="External"/><Relationship Id="rId65" Type="http://schemas.openxmlformats.org/officeDocument/2006/relationships/hyperlink" Target="http://www.satstu.ac.bd" TargetMode="External"/><Relationship Id="rId68" Type="http://schemas.openxmlformats.org/officeDocument/2006/relationships/hyperlink" Target="https://gstadmission.ac.bd" TargetMode="External"/><Relationship Id="rId67" Type="http://schemas.openxmlformats.org/officeDocument/2006/relationships/hyperlink" Target="https://rmstu.ac.bd" TargetMode="External"/><Relationship Id="rId60" Type="http://schemas.openxmlformats.org/officeDocument/2006/relationships/hyperlink" Target="https://gstadmission.ac.bd" TargetMode="External"/><Relationship Id="rId69" Type="http://schemas.openxmlformats.org/officeDocument/2006/relationships/hyperlink" Target="https://prstu.ac.bd/" TargetMode="External"/><Relationship Id="rId51" Type="http://schemas.openxmlformats.org/officeDocument/2006/relationships/hyperlink" Target="https://gstu.edu.bd" TargetMode="External"/><Relationship Id="rId50" Type="http://schemas.openxmlformats.org/officeDocument/2006/relationships/hyperlink" Target="https://gstadmission.ac.bd" TargetMode="External"/><Relationship Id="rId53" Type="http://schemas.openxmlformats.org/officeDocument/2006/relationships/hyperlink" Target="https://www.cstu.ac.bd" TargetMode="External"/><Relationship Id="rId52" Type="http://schemas.openxmlformats.org/officeDocument/2006/relationships/hyperlink" Target="https://www.gstu.edu.bd/admission" TargetMode="External"/><Relationship Id="rId55" Type="http://schemas.openxmlformats.org/officeDocument/2006/relationships/hyperlink" Target="https://brur.ac.bd/" TargetMode="External"/><Relationship Id="rId54" Type="http://schemas.openxmlformats.org/officeDocument/2006/relationships/hyperlink" Target="https://admission.cstu.ac.bd" TargetMode="External"/><Relationship Id="rId57" Type="http://schemas.openxmlformats.org/officeDocument/2006/relationships/hyperlink" Target="https://nuy.ac.bd" TargetMode="External"/><Relationship Id="rId56" Type="http://schemas.openxmlformats.org/officeDocument/2006/relationships/hyperlink" Target="https://www.google.com/search?q=https://gstadmission.ac.bd" TargetMode="External"/><Relationship Id="rId59" Type="http://schemas.openxmlformats.org/officeDocument/2006/relationships/hyperlink" Target="https://www.mum.ac.bd" TargetMode="External"/><Relationship Id="rId58" Type="http://schemas.openxmlformats.org/officeDocument/2006/relationships/hyperlink" Target="https://gstadmission.ac.bd" TargetMode="External"/><Relationship Id="rId107" Type="http://schemas.openxmlformats.org/officeDocument/2006/relationships/hyperlink" Target="https://ramc.gov.bd" TargetMode="External"/><Relationship Id="rId228" Type="http://schemas.openxmlformats.org/officeDocument/2006/relationships/hyperlink" Target="http://iau.edu.bd" TargetMode="External"/><Relationship Id="rId349" Type="http://schemas.openxmlformats.org/officeDocument/2006/relationships/hyperlink" Target="https://dgnm.gov.bd" TargetMode="External"/><Relationship Id="rId106" Type="http://schemas.openxmlformats.org/officeDocument/2006/relationships/hyperlink" Target="https://dgme.teletalk.com.bd" TargetMode="External"/><Relationship Id="rId227" Type="http://schemas.openxmlformats.org/officeDocument/2006/relationships/hyperlink" Target="http://iau.edu.bd" TargetMode="External"/><Relationship Id="rId348" Type="http://schemas.openxmlformats.org/officeDocument/2006/relationships/hyperlink" Target="http://bnmc.teletalk.com.bd" TargetMode="External"/><Relationship Id="rId105" Type="http://schemas.openxmlformats.org/officeDocument/2006/relationships/hyperlink" Target="https://rangpurmedical.gov.bd" TargetMode="External"/><Relationship Id="rId226" Type="http://schemas.openxmlformats.org/officeDocument/2006/relationships/hyperlink" Target="https://admission.bsmraau.edu.bd" TargetMode="External"/><Relationship Id="rId347" Type="http://schemas.openxmlformats.org/officeDocument/2006/relationships/hyperlink" Target="https://dgnm.gov.bd" TargetMode="External"/><Relationship Id="rId104" Type="http://schemas.openxmlformats.org/officeDocument/2006/relationships/hyperlink" Target="https://dgme.teletalk.com.bd" TargetMode="External"/><Relationship Id="rId225" Type="http://schemas.openxmlformats.org/officeDocument/2006/relationships/hyperlink" Target="https://bsmraau.edu.bd" TargetMode="External"/><Relationship Id="rId346" Type="http://schemas.openxmlformats.org/officeDocument/2006/relationships/hyperlink" Target="http://bnmc.teletalk.com.bd" TargetMode="External"/><Relationship Id="rId109" Type="http://schemas.openxmlformats.org/officeDocument/2006/relationships/hyperlink" Target="https://rmu.ac.bd" TargetMode="External"/><Relationship Id="rId108" Type="http://schemas.openxmlformats.org/officeDocument/2006/relationships/hyperlink" Target="https://dgme.teletalk.com.bd" TargetMode="External"/><Relationship Id="rId229" Type="http://schemas.openxmlformats.org/officeDocument/2006/relationships/hyperlink" Target="http://nmi.gov.bd" TargetMode="External"/><Relationship Id="rId220" Type="http://schemas.openxmlformats.org/officeDocument/2006/relationships/hyperlink" Target="https://admission.bsmrmu.edu.bd" TargetMode="External"/><Relationship Id="rId341" Type="http://schemas.openxmlformats.org/officeDocument/2006/relationships/hyperlink" Target="https://dgnm.gov.bd" TargetMode="External"/><Relationship Id="rId340" Type="http://schemas.openxmlformats.org/officeDocument/2006/relationships/hyperlink" Target="http://bnmc.teletalk.com.bd" TargetMode="External"/><Relationship Id="rId103" Type="http://schemas.openxmlformats.org/officeDocument/2006/relationships/hyperlink" Target="https://smc.gov.bd" TargetMode="External"/><Relationship Id="rId224" Type="http://schemas.openxmlformats.org/officeDocument/2006/relationships/hyperlink" Target="http://aaub.teletalk.com.bd" TargetMode="External"/><Relationship Id="rId345" Type="http://schemas.openxmlformats.org/officeDocument/2006/relationships/hyperlink" Target="https://dgnm.gov.bd" TargetMode="External"/><Relationship Id="rId102" Type="http://schemas.openxmlformats.org/officeDocument/2006/relationships/hyperlink" Target="https://dgme.teletalk.com.bd" TargetMode="External"/><Relationship Id="rId223" Type="http://schemas.openxmlformats.org/officeDocument/2006/relationships/hyperlink" Target="https://aaub.edu.bd" TargetMode="External"/><Relationship Id="rId344" Type="http://schemas.openxmlformats.org/officeDocument/2006/relationships/hyperlink" Target="http://bnmc.teletalk.com.bd" TargetMode="External"/><Relationship Id="rId101" Type="http://schemas.openxmlformats.org/officeDocument/2006/relationships/hyperlink" Target="https://smmamc.gov.bd" TargetMode="External"/><Relationship Id="rId222" Type="http://schemas.openxmlformats.org/officeDocument/2006/relationships/hyperlink" Target="http://bori.gov.bd" TargetMode="External"/><Relationship Id="rId343" Type="http://schemas.openxmlformats.org/officeDocument/2006/relationships/hyperlink" Target="https://dgnm.gov.bd" TargetMode="External"/><Relationship Id="rId100" Type="http://schemas.openxmlformats.org/officeDocument/2006/relationships/hyperlink" Target="https://dgme.teletalk.com.bd" TargetMode="External"/><Relationship Id="rId221" Type="http://schemas.openxmlformats.org/officeDocument/2006/relationships/hyperlink" Target="http://bori.gov.bd" TargetMode="External"/><Relationship Id="rId342" Type="http://schemas.openxmlformats.org/officeDocument/2006/relationships/hyperlink" Target="http://bnmc.teletalk.com.bd" TargetMode="External"/><Relationship Id="rId217" Type="http://schemas.openxmlformats.org/officeDocument/2006/relationships/hyperlink" Target="http://www.bbggc.gov.bd" TargetMode="External"/><Relationship Id="rId338" Type="http://schemas.openxmlformats.org/officeDocument/2006/relationships/hyperlink" Target="http://bnmc.teletalk.com.bd" TargetMode="External"/><Relationship Id="rId216" Type="http://schemas.openxmlformats.org/officeDocument/2006/relationships/hyperlink" Target="http://collegeadmission.eis.du.ac.bd" TargetMode="External"/><Relationship Id="rId337" Type="http://schemas.openxmlformats.org/officeDocument/2006/relationships/hyperlink" Target="https://dgnm.gov.bd" TargetMode="External"/><Relationship Id="rId215" Type="http://schemas.openxmlformats.org/officeDocument/2006/relationships/hyperlink" Target="http://www.gbc.edu.bd" TargetMode="External"/><Relationship Id="rId336" Type="http://schemas.openxmlformats.org/officeDocument/2006/relationships/hyperlink" Target="http://bnmc.teletalk.com.bd" TargetMode="External"/><Relationship Id="rId214" Type="http://schemas.openxmlformats.org/officeDocument/2006/relationships/hyperlink" Target="http://collegeadmission.eis.du.ac.bd" TargetMode="External"/><Relationship Id="rId335" Type="http://schemas.openxmlformats.org/officeDocument/2006/relationships/hyperlink" Target="https://dgnm.gov.bd" TargetMode="External"/><Relationship Id="rId219" Type="http://schemas.openxmlformats.org/officeDocument/2006/relationships/hyperlink" Target="https://bsmrmu.edu.bd" TargetMode="External"/><Relationship Id="rId218" Type="http://schemas.openxmlformats.org/officeDocument/2006/relationships/hyperlink" Target="http://collegeadmission.eis.du.ac.bd" TargetMode="External"/><Relationship Id="rId339" Type="http://schemas.openxmlformats.org/officeDocument/2006/relationships/hyperlink" Target="https://dgnm.gov.bd" TargetMode="External"/><Relationship Id="rId330" Type="http://schemas.openxmlformats.org/officeDocument/2006/relationships/hyperlink" Target="http://bnmc.teletalk.com.bd" TargetMode="External"/><Relationship Id="rId213" Type="http://schemas.openxmlformats.org/officeDocument/2006/relationships/hyperlink" Target="http://www.gssc.gov.bd" TargetMode="External"/><Relationship Id="rId334" Type="http://schemas.openxmlformats.org/officeDocument/2006/relationships/hyperlink" Target="http://bnmc.teletalk.com.bd" TargetMode="External"/><Relationship Id="rId212" Type="http://schemas.openxmlformats.org/officeDocument/2006/relationships/hyperlink" Target="http://collegeadmission.eis.du.ac.bd" TargetMode="External"/><Relationship Id="rId333" Type="http://schemas.openxmlformats.org/officeDocument/2006/relationships/hyperlink" Target="https://dgnm.gov.bd" TargetMode="External"/><Relationship Id="rId211" Type="http://schemas.openxmlformats.org/officeDocument/2006/relationships/hyperlink" Target="http://www.titumircollege.gov.bd" TargetMode="External"/><Relationship Id="rId332" Type="http://schemas.openxmlformats.org/officeDocument/2006/relationships/hyperlink" Target="http://bnmc.teletalk.com.bd" TargetMode="External"/><Relationship Id="rId210" Type="http://schemas.openxmlformats.org/officeDocument/2006/relationships/hyperlink" Target="http://collegeadmission.eis.du.ac.bd" TargetMode="External"/><Relationship Id="rId331" Type="http://schemas.openxmlformats.org/officeDocument/2006/relationships/hyperlink" Target="https://dgnm.gov.bd" TargetMode="External"/><Relationship Id="rId370" Type="http://schemas.openxmlformats.org/officeDocument/2006/relationships/hyperlink" Target="http://bnmc.teletalk.com.bd" TargetMode="External"/><Relationship Id="rId129" Type="http://schemas.openxmlformats.org/officeDocument/2006/relationships/hyperlink" Target="https://magosmanimedical.com" TargetMode="External"/><Relationship Id="rId128" Type="http://schemas.openxmlformats.org/officeDocument/2006/relationships/hyperlink" Target="https://dgme.teletalk.com.bd" TargetMode="External"/><Relationship Id="rId249" Type="http://schemas.openxmlformats.org/officeDocument/2006/relationships/hyperlink" Target="http://tecn.noakhali.gov.bd/" TargetMode="External"/><Relationship Id="rId127" Type="http://schemas.openxmlformats.org/officeDocument/2006/relationships/hyperlink" Target="https://mamc.gov.bd" TargetMode="External"/><Relationship Id="rId248" Type="http://schemas.openxmlformats.org/officeDocument/2006/relationships/hyperlink" Target="http://admission.ru.ac.bd" TargetMode="External"/><Relationship Id="rId369" Type="http://schemas.openxmlformats.org/officeDocument/2006/relationships/hyperlink" Target="https://dgnm.gov.bd" TargetMode="External"/><Relationship Id="rId126" Type="http://schemas.openxmlformats.org/officeDocument/2006/relationships/hyperlink" Target="https://dgme.teletalk.com.bd" TargetMode="External"/><Relationship Id="rId247" Type="http://schemas.openxmlformats.org/officeDocument/2006/relationships/hyperlink" Target="http://pec.ac.bd" TargetMode="External"/><Relationship Id="rId368" Type="http://schemas.openxmlformats.org/officeDocument/2006/relationships/hyperlink" Target="http://bnmc.teletalk.com.bd" TargetMode="External"/><Relationship Id="rId121" Type="http://schemas.openxmlformats.org/officeDocument/2006/relationships/hyperlink" Target="https://namc.gov.bd" TargetMode="External"/><Relationship Id="rId242" Type="http://schemas.openxmlformats.org/officeDocument/2006/relationships/hyperlink" Target="http://admission.ru.ac.bd" TargetMode="External"/><Relationship Id="rId363" Type="http://schemas.openxmlformats.org/officeDocument/2006/relationships/hyperlink" Target="https://dgnm.gov.bd" TargetMode="External"/><Relationship Id="rId120" Type="http://schemas.openxmlformats.org/officeDocument/2006/relationships/hyperlink" Target="https://dgme.teletalk.com.bd" TargetMode="External"/><Relationship Id="rId241" Type="http://schemas.openxmlformats.org/officeDocument/2006/relationships/hyperlink" Target="http://rec.ac.bd" TargetMode="External"/><Relationship Id="rId362" Type="http://schemas.openxmlformats.org/officeDocument/2006/relationships/hyperlink" Target="http://bnmc.teletalk.com.bd" TargetMode="External"/><Relationship Id="rId240" Type="http://schemas.openxmlformats.org/officeDocument/2006/relationships/hyperlink" Target="http://dot.gov.bd" TargetMode="External"/><Relationship Id="rId361" Type="http://schemas.openxmlformats.org/officeDocument/2006/relationships/hyperlink" Target="https://dgnm.gov.bd" TargetMode="External"/><Relationship Id="rId360" Type="http://schemas.openxmlformats.org/officeDocument/2006/relationships/hyperlink" Target="http://bnmc.teletalk.com.bd" TargetMode="External"/><Relationship Id="rId125" Type="http://schemas.openxmlformats.org/officeDocument/2006/relationships/hyperlink" Target="https://mumc.gov.bd" TargetMode="External"/><Relationship Id="rId246" Type="http://schemas.openxmlformats.org/officeDocument/2006/relationships/hyperlink" Target="http://dot.gov.bd" TargetMode="External"/><Relationship Id="rId367" Type="http://schemas.openxmlformats.org/officeDocument/2006/relationships/hyperlink" Target="https://dgnm.gov.bd" TargetMode="External"/><Relationship Id="rId124" Type="http://schemas.openxmlformats.org/officeDocument/2006/relationships/hyperlink" Target="https://dgme.teletalk.com.bd" TargetMode="External"/><Relationship Id="rId245" Type="http://schemas.openxmlformats.org/officeDocument/2006/relationships/hyperlink" Target="http://ptec.pabna.gov.bd/" TargetMode="External"/><Relationship Id="rId366" Type="http://schemas.openxmlformats.org/officeDocument/2006/relationships/hyperlink" Target="http://bnmc.teletalk.com.bd" TargetMode="External"/><Relationship Id="rId123" Type="http://schemas.openxmlformats.org/officeDocument/2006/relationships/hyperlink" Target="https://mmc.gov.bd" TargetMode="External"/><Relationship Id="rId244" Type="http://schemas.openxmlformats.org/officeDocument/2006/relationships/hyperlink" Target="http://admission.ru.ac.bd" TargetMode="External"/><Relationship Id="rId365" Type="http://schemas.openxmlformats.org/officeDocument/2006/relationships/hyperlink" Target="https://dgnm.gov.bd" TargetMode="External"/><Relationship Id="rId122" Type="http://schemas.openxmlformats.org/officeDocument/2006/relationships/hyperlink" Target="https://dgme.teletalk.com.bd" TargetMode="External"/><Relationship Id="rId243" Type="http://schemas.openxmlformats.org/officeDocument/2006/relationships/hyperlink" Target="http://ribs.ac.bd" TargetMode="External"/><Relationship Id="rId364" Type="http://schemas.openxmlformats.org/officeDocument/2006/relationships/hyperlink" Target="http://bnmc.teletalk.com.bd" TargetMode="External"/><Relationship Id="rId95" Type="http://schemas.openxmlformats.org/officeDocument/2006/relationships/hyperlink" Target="https://stamc.gov.bd" TargetMode="External"/><Relationship Id="rId94" Type="http://schemas.openxmlformats.org/officeDocument/2006/relationships/hyperlink" Target="https://dgme.teletalk.com.bd" TargetMode="External"/><Relationship Id="rId97" Type="http://schemas.openxmlformats.org/officeDocument/2006/relationships/hyperlink" Target="https://ssnimc.gov.bd" TargetMode="External"/><Relationship Id="rId96" Type="http://schemas.openxmlformats.org/officeDocument/2006/relationships/hyperlink" Target="https://dgme.teletalk.com.bd" TargetMode="External"/><Relationship Id="rId99" Type="http://schemas.openxmlformats.org/officeDocument/2006/relationships/hyperlink" Target="https://shsmc.gov.bd" TargetMode="External"/><Relationship Id="rId98" Type="http://schemas.openxmlformats.org/officeDocument/2006/relationships/hyperlink" Target="https://dgme.teletalk.com.bd" TargetMode="External"/><Relationship Id="rId91" Type="http://schemas.openxmlformats.org/officeDocument/2006/relationships/hyperlink" Target="https://shmch.gov.bd" TargetMode="External"/><Relationship Id="rId90" Type="http://schemas.openxmlformats.org/officeDocument/2006/relationships/hyperlink" Target="https://dgme.teletalk.com.bd" TargetMode="External"/><Relationship Id="rId93" Type="http://schemas.openxmlformats.org/officeDocument/2006/relationships/hyperlink" Target="https://szmc.gov.bd" TargetMode="External"/><Relationship Id="rId92" Type="http://schemas.openxmlformats.org/officeDocument/2006/relationships/hyperlink" Target="https://dgme.teletalk.com.bd" TargetMode="External"/><Relationship Id="rId118" Type="http://schemas.openxmlformats.org/officeDocument/2006/relationships/hyperlink" Target="https://dgme.teletalk.com.bd" TargetMode="External"/><Relationship Id="rId239" Type="http://schemas.openxmlformats.org/officeDocument/2006/relationships/hyperlink" Target="http://rtec.rangpur.gov.bd/" TargetMode="External"/><Relationship Id="rId117" Type="http://schemas.openxmlformats.org/officeDocument/2006/relationships/hyperlink" Target="https://nimc.gov.bd" TargetMode="External"/><Relationship Id="rId238" Type="http://schemas.openxmlformats.org/officeDocument/2006/relationships/hyperlink" Target="http://dot.teletalk.com.bd" TargetMode="External"/><Relationship Id="rId359" Type="http://schemas.openxmlformats.org/officeDocument/2006/relationships/hyperlink" Target="https://dgnm.gov.bd" TargetMode="External"/><Relationship Id="rId116" Type="http://schemas.openxmlformats.org/officeDocument/2006/relationships/hyperlink" Target="https://dgme.teletalk.com.bd" TargetMode="External"/><Relationship Id="rId237" Type="http://schemas.openxmlformats.org/officeDocument/2006/relationships/hyperlink" Target="http://sarstec.ac.bd/" TargetMode="External"/><Relationship Id="rId358" Type="http://schemas.openxmlformats.org/officeDocument/2006/relationships/hyperlink" Target="http://bnmc.teletalk.com.bd" TargetMode="External"/><Relationship Id="rId115" Type="http://schemas.openxmlformats.org/officeDocument/2006/relationships/hyperlink" Target="https://pmc.gov.bd" TargetMode="External"/><Relationship Id="rId236" Type="http://schemas.openxmlformats.org/officeDocument/2006/relationships/hyperlink" Target="http://dot.teletalk.com.bd" TargetMode="External"/><Relationship Id="rId357" Type="http://schemas.openxmlformats.org/officeDocument/2006/relationships/hyperlink" Target="https://dgnm.gov.bd" TargetMode="External"/><Relationship Id="rId119" Type="http://schemas.openxmlformats.org/officeDocument/2006/relationships/hyperlink" Target="https://nemc.gov.bd" TargetMode="External"/><Relationship Id="rId110" Type="http://schemas.openxmlformats.org/officeDocument/2006/relationships/hyperlink" Target="https://dgme.gov.bd" TargetMode="External"/><Relationship Id="rId231" Type="http://schemas.openxmlformats.org/officeDocument/2006/relationships/hyperlink" Target="http://smu.edu.bd" TargetMode="External"/><Relationship Id="rId352" Type="http://schemas.openxmlformats.org/officeDocument/2006/relationships/hyperlink" Target="http://bnmc.teletalk.com.bd" TargetMode="External"/><Relationship Id="rId230" Type="http://schemas.openxmlformats.org/officeDocument/2006/relationships/hyperlink" Target="http://nmi.gov.bd" TargetMode="External"/><Relationship Id="rId351" Type="http://schemas.openxmlformats.org/officeDocument/2006/relationships/hyperlink" Target="https://dgnm.gov.bd" TargetMode="External"/><Relationship Id="rId350" Type="http://schemas.openxmlformats.org/officeDocument/2006/relationships/hyperlink" Target="http://bnmc.teletalk.com.bd" TargetMode="External"/><Relationship Id="rId114" Type="http://schemas.openxmlformats.org/officeDocument/2006/relationships/hyperlink" Target="https://dgme.teletalk.com.bd" TargetMode="External"/><Relationship Id="rId235" Type="http://schemas.openxmlformats.org/officeDocument/2006/relationships/hyperlink" Target="http://sktec.gov.bd/" TargetMode="External"/><Relationship Id="rId356" Type="http://schemas.openxmlformats.org/officeDocument/2006/relationships/hyperlink" Target="http://bnmc.teletalk.com.bd" TargetMode="External"/><Relationship Id="rId113" Type="http://schemas.openxmlformats.org/officeDocument/2006/relationships/hyperlink" Target="https://pkmc.gov.bd" TargetMode="External"/><Relationship Id="rId234" Type="http://schemas.openxmlformats.org/officeDocument/2006/relationships/hyperlink" Target="http://dot.teletalk.com.bd" TargetMode="External"/><Relationship Id="rId355" Type="http://schemas.openxmlformats.org/officeDocument/2006/relationships/hyperlink" Target="https://dgnm.gov.bd" TargetMode="External"/><Relationship Id="rId112" Type="http://schemas.openxmlformats.org/officeDocument/2006/relationships/hyperlink" Target="https://dgme.teletalk.com.bd" TargetMode="External"/><Relationship Id="rId233" Type="http://schemas.openxmlformats.org/officeDocument/2006/relationships/hyperlink" Target="http://srtec.gov.bd/" TargetMode="External"/><Relationship Id="rId354" Type="http://schemas.openxmlformats.org/officeDocument/2006/relationships/hyperlink" Target="http://bnmc.teletalk.com.bd" TargetMode="External"/><Relationship Id="rId111" Type="http://schemas.openxmlformats.org/officeDocument/2006/relationships/hyperlink" Target="https://rmc.gov.bd" TargetMode="External"/><Relationship Id="rId232" Type="http://schemas.openxmlformats.org/officeDocument/2006/relationships/hyperlink" Target="http://smu.edu.bd" TargetMode="External"/><Relationship Id="rId353" Type="http://schemas.openxmlformats.org/officeDocument/2006/relationships/hyperlink" Target="https://dgnm.gov.bd" TargetMode="External"/><Relationship Id="rId305" Type="http://schemas.openxmlformats.org/officeDocument/2006/relationships/hyperlink" Target="https://dgnm.gov.bd" TargetMode="External"/><Relationship Id="rId304" Type="http://schemas.openxmlformats.org/officeDocument/2006/relationships/hyperlink" Target="http://bnmc.teletalk.com.bd" TargetMode="External"/><Relationship Id="rId303" Type="http://schemas.openxmlformats.org/officeDocument/2006/relationships/hyperlink" Target="https://dgnm.gov.bd" TargetMode="External"/><Relationship Id="rId302" Type="http://schemas.openxmlformats.org/officeDocument/2006/relationships/hyperlink" Target="http://bnmc.teletalk.com.bd" TargetMode="External"/><Relationship Id="rId309" Type="http://schemas.openxmlformats.org/officeDocument/2006/relationships/hyperlink" Target="https://dgnm.gov.bd" TargetMode="External"/><Relationship Id="rId308" Type="http://schemas.openxmlformats.org/officeDocument/2006/relationships/hyperlink" Target="http://bnmc.teletalk.com.bd" TargetMode="External"/><Relationship Id="rId307" Type="http://schemas.openxmlformats.org/officeDocument/2006/relationships/hyperlink" Target="https://dgnm.gov.bd" TargetMode="External"/><Relationship Id="rId306" Type="http://schemas.openxmlformats.org/officeDocument/2006/relationships/hyperlink" Target="http://bnmc.teletalk.com.bd" TargetMode="External"/><Relationship Id="rId301" Type="http://schemas.openxmlformats.org/officeDocument/2006/relationships/hyperlink" Target="https://dgnm.gov.bd" TargetMode="External"/><Relationship Id="rId300" Type="http://schemas.openxmlformats.org/officeDocument/2006/relationships/hyperlink" Target="http://bnmc.teletalk.com.bd" TargetMode="External"/><Relationship Id="rId413" Type="http://schemas.openxmlformats.org/officeDocument/2006/relationships/table" Target="../tables/table5.xml"/><Relationship Id="rId412" Type="http://schemas.openxmlformats.org/officeDocument/2006/relationships/table" Target="../tables/table4.xml"/><Relationship Id="rId411" Type="http://schemas.openxmlformats.org/officeDocument/2006/relationships/table" Target="../tables/table3.xml"/><Relationship Id="rId410" Type="http://schemas.openxmlformats.org/officeDocument/2006/relationships/table" Target="../tables/table2.xml"/><Relationship Id="rId206" Type="http://schemas.openxmlformats.org/officeDocument/2006/relationships/hyperlink" Target="http://collegeadmission.eis.du.ac.bd" TargetMode="External"/><Relationship Id="rId327" Type="http://schemas.openxmlformats.org/officeDocument/2006/relationships/hyperlink" Target="https://dgnm.gov.bd" TargetMode="External"/><Relationship Id="rId205" Type="http://schemas.openxmlformats.org/officeDocument/2006/relationships/hyperlink" Target="http://www.dhakacollege.edu.bd" TargetMode="External"/><Relationship Id="rId326" Type="http://schemas.openxmlformats.org/officeDocument/2006/relationships/hyperlink" Target="http://bnmc.teletalk.com.bd" TargetMode="External"/><Relationship Id="rId204" Type="http://schemas.openxmlformats.org/officeDocument/2006/relationships/hyperlink" Target="http://afmc.teletalk.com.bd" TargetMode="External"/><Relationship Id="rId325" Type="http://schemas.openxmlformats.org/officeDocument/2006/relationships/hyperlink" Target="https://dgnm.gov.bd" TargetMode="External"/><Relationship Id="rId203" Type="http://schemas.openxmlformats.org/officeDocument/2006/relationships/hyperlink" Target="https://afmc.edu.bd" TargetMode="External"/><Relationship Id="rId324" Type="http://schemas.openxmlformats.org/officeDocument/2006/relationships/hyperlink" Target="http://bnmc.teletalk.com.bd" TargetMode="External"/><Relationship Id="rId209" Type="http://schemas.openxmlformats.org/officeDocument/2006/relationships/hyperlink" Target="http://www.kngc.edu.bd" TargetMode="External"/><Relationship Id="rId208" Type="http://schemas.openxmlformats.org/officeDocument/2006/relationships/hyperlink" Target="http://collegeadmission.eis.du.ac.bd" TargetMode="External"/><Relationship Id="rId329" Type="http://schemas.openxmlformats.org/officeDocument/2006/relationships/hyperlink" Target="https://dgnm.gov.bd" TargetMode="External"/><Relationship Id="rId207" Type="http://schemas.openxmlformats.org/officeDocument/2006/relationships/hyperlink" Target="http://www.emc.edu.bd" TargetMode="External"/><Relationship Id="rId328" Type="http://schemas.openxmlformats.org/officeDocument/2006/relationships/hyperlink" Target="http://bnmc.teletalk.com.bd" TargetMode="External"/><Relationship Id="rId202" Type="http://schemas.openxmlformats.org/officeDocument/2006/relationships/hyperlink" Target="http://afmc.teletalk.com.bd" TargetMode="External"/><Relationship Id="rId323" Type="http://schemas.openxmlformats.org/officeDocument/2006/relationships/hyperlink" Target="https://dgnm.gov.bd" TargetMode="External"/><Relationship Id="rId201" Type="http://schemas.openxmlformats.org/officeDocument/2006/relationships/hyperlink" Target="https://amcb.edu.bd" TargetMode="External"/><Relationship Id="rId322" Type="http://schemas.openxmlformats.org/officeDocument/2006/relationships/hyperlink" Target="http://bnmc.teletalk.com.bd" TargetMode="External"/><Relationship Id="rId200" Type="http://schemas.openxmlformats.org/officeDocument/2006/relationships/hyperlink" Target="http://afmc.teletalk.com.bd/" TargetMode="External"/><Relationship Id="rId321" Type="http://schemas.openxmlformats.org/officeDocument/2006/relationships/hyperlink" Target="https://dgnm.gov.bd" TargetMode="External"/><Relationship Id="rId320" Type="http://schemas.openxmlformats.org/officeDocument/2006/relationships/hyperlink" Target="http://bnmc.teletalk.com.bd" TargetMode="External"/><Relationship Id="rId316" Type="http://schemas.openxmlformats.org/officeDocument/2006/relationships/hyperlink" Target="http://bnmc.teletalk.com.bd" TargetMode="External"/><Relationship Id="rId315" Type="http://schemas.openxmlformats.org/officeDocument/2006/relationships/hyperlink" Target="https://dgnm.gov.bd" TargetMode="External"/><Relationship Id="rId314" Type="http://schemas.openxmlformats.org/officeDocument/2006/relationships/hyperlink" Target="http://bnmc.teletalk.com.bd" TargetMode="External"/><Relationship Id="rId313" Type="http://schemas.openxmlformats.org/officeDocument/2006/relationships/hyperlink" Target="https://dgnm.gov.bd" TargetMode="External"/><Relationship Id="rId319" Type="http://schemas.openxmlformats.org/officeDocument/2006/relationships/hyperlink" Target="https://dgnm.gov.bd" TargetMode="External"/><Relationship Id="rId318" Type="http://schemas.openxmlformats.org/officeDocument/2006/relationships/hyperlink" Target="http://bnmc.teletalk.com.bd" TargetMode="External"/><Relationship Id="rId317" Type="http://schemas.openxmlformats.org/officeDocument/2006/relationships/hyperlink" Target="https://dgnm.gov.bd" TargetMode="External"/><Relationship Id="rId312" Type="http://schemas.openxmlformats.org/officeDocument/2006/relationships/hyperlink" Target="http://bnmc.teletalk.com.bd" TargetMode="External"/><Relationship Id="rId311" Type="http://schemas.openxmlformats.org/officeDocument/2006/relationships/hyperlink" Target="https://dgnm.gov.bd" TargetMode="External"/><Relationship Id="rId310" Type="http://schemas.openxmlformats.org/officeDocument/2006/relationships/hyperlink" Target="http://bnmc.teletalk.com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9.63"/>
    <col customWidth="1" min="10" max="13" width="12.13"/>
    <col customWidth="1" min="14" max="26" width="29.6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1" t="s">
        <v>14</v>
      </c>
      <c r="B2" s="1" t="s">
        <v>15</v>
      </c>
      <c r="C2" s="3">
        <f>+8801734790892</f>
        <v>8801734790892</v>
      </c>
      <c r="D2" s="1" t="s">
        <v>16</v>
      </c>
      <c r="E2" s="1">
        <v>1992.0</v>
      </c>
      <c r="F2" s="1" t="s">
        <v>17</v>
      </c>
      <c r="G2" s="1" t="s">
        <v>18</v>
      </c>
      <c r="H2" s="4" t="s">
        <v>19</v>
      </c>
      <c r="I2" s="4" t="s">
        <v>20</v>
      </c>
      <c r="J2" s="5" t="s">
        <v>21</v>
      </c>
      <c r="K2" s="1" t="s">
        <v>22</v>
      </c>
      <c r="L2" s="1" t="s">
        <v>23</v>
      </c>
      <c r="M2" s="1" t="s">
        <v>22</v>
      </c>
      <c r="N2" s="6" t="s">
        <v>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1" t="s">
        <v>14</v>
      </c>
      <c r="B3" s="1" t="s">
        <v>25</v>
      </c>
      <c r="C3" s="3">
        <f>+8809666911463</f>
        <v>8809666911463</v>
      </c>
      <c r="D3" s="1" t="s">
        <v>26</v>
      </c>
      <c r="E3" s="1">
        <v>1921.0</v>
      </c>
      <c r="F3" s="1" t="s">
        <v>27</v>
      </c>
      <c r="G3" s="1" t="s">
        <v>28</v>
      </c>
      <c r="H3" s="4" t="s">
        <v>29</v>
      </c>
      <c r="I3" s="4" t="s">
        <v>30</v>
      </c>
      <c r="J3" s="1">
        <v>6085.0</v>
      </c>
      <c r="K3" s="1">
        <v>1851.0</v>
      </c>
      <c r="L3" s="1">
        <v>3064.0</v>
      </c>
      <c r="M3" s="1">
        <v>1170.0</v>
      </c>
      <c r="N3" s="6" t="s">
        <v>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1" t="s">
        <v>14</v>
      </c>
      <c r="B4" s="1" t="s">
        <v>31</v>
      </c>
      <c r="C4" s="3">
        <f>+8801772563303</f>
        <v>8801772563303</v>
      </c>
      <c r="D4" s="1" t="s">
        <v>32</v>
      </c>
      <c r="E4" s="1">
        <v>1966.0</v>
      </c>
      <c r="F4" s="1" t="s">
        <v>33</v>
      </c>
      <c r="G4" s="1" t="s">
        <v>34</v>
      </c>
      <c r="H4" s="4" t="s">
        <v>35</v>
      </c>
      <c r="I4" s="4" t="s">
        <v>30</v>
      </c>
      <c r="J4" s="1">
        <v>120.0</v>
      </c>
      <c r="K4" s="1" t="s">
        <v>36</v>
      </c>
      <c r="L4" s="1" t="s">
        <v>36</v>
      </c>
      <c r="M4" s="1">
        <v>120.0</v>
      </c>
      <c r="N4" s="6" t="s">
        <v>24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1">
      <c r="A5" s="1" t="s">
        <v>14</v>
      </c>
      <c r="B5" s="1" t="s">
        <v>37</v>
      </c>
      <c r="C5" s="3">
        <f>+8801703899973</f>
        <v>8801703899973</v>
      </c>
      <c r="D5" s="1" t="s">
        <v>38</v>
      </c>
      <c r="E5" s="1">
        <v>1953.0</v>
      </c>
      <c r="F5" s="1" t="s">
        <v>39</v>
      </c>
      <c r="G5" s="1" t="s">
        <v>40</v>
      </c>
      <c r="H5" s="4" t="s">
        <v>41</v>
      </c>
      <c r="I5" s="4" t="s">
        <v>42</v>
      </c>
      <c r="J5" s="1">
        <v>3681.0</v>
      </c>
      <c r="K5" s="1">
        <v>1250.0</v>
      </c>
      <c r="L5" s="1">
        <v>1872.0</v>
      </c>
      <c r="M5" s="1">
        <v>559.0</v>
      </c>
      <c r="N5" s="6" t="s">
        <v>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1" t="s">
        <v>14</v>
      </c>
      <c r="B6" s="1" t="s">
        <v>43</v>
      </c>
      <c r="C6" s="3">
        <f>+8801555555140</f>
        <v>8801555555140</v>
      </c>
      <c r="D6" s="1" t="s">
        <v>44</v>
      </c>
      <c r="E6" s="1">
        <v>1966.0</v>
      </c>
      <c r="F6" s="1" t="s">
        <v>45</v>
      </c>
      <c r="G6" s="1" t="s">
        <v>46</v>
      </c>
      <c r="H6" s="4" t="s">
        <v>47</v>
      </c>
      <c r="I6" s="4" t="s">
        <v>48</v>
      </c>
      <c r="J6" s="1">
        <v>4926.0</v>
      </c>
      <c r="K6" s="1">
        <v>1221.0</v>
      </c>
      <c r="L6" s="1">
        <v>2239.0</v>
      </c>
      <c r="M6" s="1">
        <v>441.0</v>
      </c>
      <c r="N6" s="6" t="s">
        <v>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1" t="s">
        <v>14</v>
      </c>
      <c r="B7" s="7" t="s">
        <v>49</v>
      </c>
      <c r="C7" s="8">
        <f>+88041720171</f>
        <v>88041720171</v>
      </c>
      <c r="D7" s="7" t="s">
        <v>50</v>
      </c>
      <c r="E7" s="7">
        <v>1991.0</v>
      </c>
      <c r="F7" s="7" t="s">
        <v>51</v>
      </c>
      <c r="G7" s="7" t="s">
        <v>52</v>
      </c>
      <c r="H7" s="9" t="s">
        <v>53</v>
      </c>
      <c r="I7" s="9" t="s">
        <v>54</v>
      </c>
      <c r="J7" s="7">
        <v>1109.0</v>
      </c>
      <c r="K7" s="7">
        <v>437.0</v>
      </c>
      <c r="L7" s="7">
        <v>452.0</v>
      </c>
      <c r="M7" s="7">
        <v>220.0</v>
      </c>
      <c r="N7" s="6" t="s">
        <v>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1" t="s">
        <v>14</v>
      </c>
      <c r="B8" s="1" t="s">
        <v>55</v>
      </c>
      <c r="C8" s="3">
        <f>+8802224491045</f>
        <v>8802224491045</v>
      </c>
      <c r="D8" s="1" t="s">
        <v>56</v>
      </c>
      <c r="E8" s="1">
        <v>1970.0</v>
      </c>
      <c r="F8" s="1" t="s">
        <v>57</v>
      </c>
      <c r="G8" s="1" t="s">
        <v>58</v>
      </c>
      <c r="H8" s="4" t="s">
        <v>59</v>
      </c>
      <c r="I8" s="4" t="s">
        <v>60</v>
      </c>
      <c r="J8" s="1">
        <v>1844.0</v>
      </c>
      <c r="K8" s="1">
        <v>410.0</v>
      </c>
      <c r="L8" s="1">
        <v>1004.0</v>
      </c>
      <c r="M8" s="1">
        <v>430.0</v>
      </c>
      <c r="N8" s="6" t="s">
        <v>24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1" t="s">
        <v>14</v>
      </c>
      <c r="B9" s="1" t="s">
        <v>61</v>
      </c>
      <c r="C9" s="3">
        <f>+88029534255</f>
        <v>88029534255</v>
      </c>
      <c r="D9" s="1" t="s">
        <v>62</v>
      </c>
      <c r="E9" s="1">
        <v>2005.0</v>
      </c>
      <c r="F9" s="1" t="s">
        <v>63</v>
      </c>
      <c r="G9" s="1" t="s">
        <v>64</v>
      </c>
      <c r="H9" s="4" t="s">
        <v>65</v>
      </c>
      <c r="I9" s="4" t="s">
        <v>66</v>
      </c>
      <c r="J9" s="1">
        <v>2765.0</v>
      </c>
      <c r="K9" s="1">
        <v>825.0</v>
      </c>
      <c r="L9" s="1">
        <v>1270.0</v>
      </c>
      <c r="M9" s="1">
        <v>670.0</v>
      </c>
      <c r="N9" s="6" t="s">
        <v>24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10" t="s">
        <v>67</v>
      </c>
      <c r="B10" s="7" t="s">
        <v>68</v>
      </c>
      <c r="C10" s="8">
        <f>+880255167100</f>
        <v>880255167100</v>
      </c>
      <c r="D10" s="7" t="s">
        <v>69</v>
      </c>
      <c r="E10" s="7">
        <v>1962.0</v>
      </c>
      <c r="F10" s="7" t="s">
        <v>70</v>
      </c>
      <c r="G10" s="7" t="s">
        <v>71</v>
      </c>
      <c r="H10" s="9" t="s">
        <v>72</v>
      </c>
      <c r="I10" s="9" t="s">
        <v>73</v>
      </c>
      <c r="J10" s="7">
        <v>1060.0</v>
      </c>
      <c r="K10" s="7">
        <v>1060.0</v>
      </c>
      <c r="L10" s="7" t="s">
        <v>36</v>
      </c>
      <c r="M10" s="7" t="s">
        <v>36</v>
      </c>
      <c r="N10" s="11" t="s">
        <v>74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10" t="s">
        <v>67</v>
      </c>
      <c r="B11" s="7" t="s">
        <v>75</v>
      </c>
      <c r="C11" s="8">
        <f>+8801784528080</f>
        <v>8801784528080</v>
      </c>
      <c r="D11" s="7" t="s">
        <v>76</v>
      </c>
      <c r="E11" s="7">
        <v>1964.0</v>
      </c>
      <c r="F11" s="7" t="s">
        <v>77</v>
      </c>
      <c r="G11" s="7" t="s">
        <v>78</v>
      </c>
      <c r="H11" s="9" t="s">
        <v>79</v>
      </c>
      <c r="I11" s="9" t="s">
        <v>80</v>
      </c>
      <c r="J11" s="7">
        <v>1235.0</v>
      </c>
      <c r="K11" s="7">
        <v>1235.0</v>
      </c>
      <c r="L11" s="7" t="s">
        <v>36</v>
      </c>
      <c r="M11" s="7" t="s">
        <v>36</v>
      </c>
      <c r="N11" s="11" t="s">
        <v>74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10" t="s">
        <v>67</v>
      </c>
      <c r="B12" s="7" t="s">
        <v>81</v>
      </c>
      <c r="C12" s="8">
        <f>+8802477732971</f>
        <v>8802477732971</v>
      </c>
      <c r="D12" s="7" t="s">
        <v>82</v>
      </c>
      <c r="E12" s="7">
        <v>1967.0</v>
      </c>
      <c r="F12" s="7" t="s">
        <v>83</v>
      </c>
      <c r="G12" s="7" t="s">
        <v>84</v>
      </c>
      <c r="H12" s="9" t="s">
        <v>85</v>
      </c>
      <c r="I12" s="9" t="s">
        <v>86</v>
      </c>
      <c r="J12" s="7">
        <v>1065.0</v>
      </c>
      <c r="K12" s="7">
        <v>1065.0</v>
      </c>
      <c r="L12" s="7" t="s">
        <v>36</v>
      </c>
      <c r="M12" s="7" t="s">
        <v>36</v>
      </c>
      <c r="N12" s="11" t="s">
        <v>74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10" t="s">
        <v>67</v>
      </c>
      <c r="B13" s="7" t="s">
        <v>87</v>
      </c>
      <c r="C13" s="8">
        <f>+88031714911</f>
        <v>88031714911</v>
      </c>
      <c r="D13" s="7" t="s">
        <v>88</v>
      </c>
      <c r="E13" s="7">
        <v>1968.0</v>
      </c>
      <c r="F13" s="7" t="s">
        <v>89</v>
      </c>
      <c r="G13" s="7" t="s">
        <v>90</v>
      </c>
      <c r="H13" s="9" t="s">
        <v>91</v>
      </c>
      <c r="I13" s="9" t="s">
        <v>92</v>
      </c>
      <c r="J13" s="7">
        <v>931.0</v>
      </c>
      <c r="K13" s="7">
        <v>931.0</v>
      </c>
      <c r="L13" s="7" t="s">
        <v>36</v>
      </c>
      <c r="M13" s="7" t="s">
        <v>36</v>
      </c>
      <c r="N13" s="11" t="s">
        <v>74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10" t="s">
        <v>67</v>
      </c>
      <c r="B14" s="7" t="s">
        <v>93</v>
      </c>
      <c r="C14" s="8">
        <f>+8801555555002</f>
        <v>8801555555002</v>
      </c>
      <c r="D14" s="7" t="s">
        <v>94</v>
      </c>
      <c r="E14" s="7">
        <v>1986.0</v>
      </c>
      <c r="F14" s="7" t="s">
        <v>95</v>
      </c>
      <c r="G14" s="7" t="s">
        <v>96</v>
      </c>
      <c r="H14" s="9" t="s">
        <v>97</v>
      </c>
      <c r="I14" s="9" t="s">
        <v>98</v>
      </c>
      <c r="J14" s="7">
        <v>1566.0</v>
      </c>
      <c r="K14" s="7">
        <v>985.0</v>
      </c>
      <c r="L14" s="7">
        <v>506.0</v>
      </c>
      <c r="M14" s="7">
        <v>75.0</v>
      </c>
      <c r="N14" s="11" t="s">
        <v>74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10" t="s">
        <v>67</v>
      </c>
      <c r="B15" s="12" t="s">
        <v>99</v>
      </c>
      <c r="C15" s="13" t="s">
        <v>100</v>
      </c>
      <c r="D15" s="12" t="s">
        <v>101</v>
      </c>
      <c r="E15" s="12">
        <v>1980.0</v>
      </c>
      <c r="F15" s="12" t="s">
        <v>102</v>
      </c>
      <c r="G15" s="12" t="s">
        <v>103</v>
      </c>
      <c r="H15" s="14" t="s">
        <v>104</v>
      </c>
      <c r="I15" s="14" t="s">
        <v>105</v>
      </c>
      <c r="J15" s="12">
        <v>850.0</v>
      </c>
      <c r="K15" s="12">
        <v>850.0</v>
      </c>
      <c r="L15" s="12" t="s">
        <v>36</v>
      </c>
      <c r="M15" s="12" t="s">
        <v>36</v>
      </c>
      <c r="N15" s="6" t="s">
        <v>74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7.0" customHeight="1">
      <c r="A16" s="10" t="s">
        <v>67</v>
      </c>
      <c r="B16" s="12" t="s">
        <v>106</v>
      </c>
      <c r="C16" s="13">
        <f>+88029291254</f>
        <v>88029291254</v>
      </c>
      <c r="D16" s="12" t="s">
        <v>107</v>
      </c>
      <c r="E16" s="12">
        <v>1981.0</v>
      </c>
      <c r="F16" s="12" t="s">
        <v>108</v>
      </c>
      <c r="G16" s="12" t="s">
        <v>109</v>
      </c>
      <c r="H16" s="14" t="s">
        <v>110</v>
      </c>
      <c r="I16" s="14" t="s">
        <v>111</v>
      </c>
      <c r="J16" s="12">
        <v>600.0</v>
      </c>
      <c r="K16" s="12">
        <v>550.0</v>
      </c>
      <c r="L16" s="12" t="s">
        <v>36</v>
      </c>
      <c r="M16" s="12">
        <v>50.0</v>
      </c>
      <c r="N16" s="11" t="s">
        <v>74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7.0" customHeight="1">
      <c r="A17" s="10" t="s">
        <v>67</v>
      </c>
      <c r="B17" s="1" t="s">
        <v>112</v>
      </c>
      <c r="C17" s="3">
        <f>+88053161355</f>
        <v>88053161355</v>
      </c>
      <c r="D17" s="1" t="s">
        <v>113</v>
      </c>
      <c r="E17" s="1">
        <v>1999.0</v>
      </c>
      <c r="F17" s="1" t="s">
        <v>114</v>
      </c>
      <c r="G17" s="1" t="s">
        <v>115</v>
      </c>
      <c r="H17" s="4" t="s">
        <v>116</v>
      </c>
      <c r="I17" s="4" t="s">
        <v>117</v>
      </c>
      <c r="J17" s="1">
        <v>1795.0</v>
      </c>
      <c r="K17" s="1">
        <v>1275.0</v>
      </c>
      <c r="L17" s="1">
        <v>240.0</v>
      </c>
      <c r="M17" s="1">
        <v>280.0</v>
      </c>
      <c r="N17" s="6" t="s">
        <v>74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1" t="s">
        <v>118</v>
      </c>
      <c r="B18" s="1" t="s">
        <v>119</v>
      </c>
      <c r="C18" s="3">
        <f>+8809666775534</f>
        <v>8809666775534</v>
      </c>
      <c r="D18" s="1" t="s">
        <v>120</v>
      </c>
      <c r="E18" s="1">
        <v>2016.0</v>
      </c>
      <c r="F18" s="1" t="s">
        <v>121</v>
      </c>
      <c r="G18" s="1" t="s">
        <v>122</v>
      </c>
      <c r="H18" s="4" t="s">
        <v>123</v>
      </c>
      <c r="I18" s="4" t="s">
        <v>124</v>
      </c>
      <c r="J18" s="1">
        <v>140.0</v>
      </c>
      <c r="K18" s="1">
        <v>140.0</v>
      </c>
      <c r="L18" s="1">
        <v>0.0</v>
      </c>
      <c r="M18" s="1">
        <v>0.0</v>
      </c>
      <c r="N18" s="6" t="s">
        <v>125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1" t="s">
        <v>118</v>
      </c>
      <c r="B19" s="1" t="s">
        <v>126</v>
      </c>
      <c r="C19" s="3">
        <f>+8804312177771</f>
        <v>8804312177771</v>
      </c>
      <c r="D19" s="1" t="s">
        <v>127</v>
      </c>
      <c r="E19" s="1">
        <v>2011.0</v>
      </c>
      <c r="F19" s="1" t="s">
        <v>128</v>
      </c>
      <c r="G19" s="1" t="s">
        <v>129</v>
      </c>
      <c r="H19" s="4" t="s">
        <v>130</v>
      </c>
      <c r="I19" s="4" t="s">
        <v>131</v>
      </c>
      <c r="J19" s="1">
        <v>1490.0</v>
      </c>
      <c r="K19" s="1">
        <v>730.0</v>
      </c>
      <c r="L19" s="1">
        <v>450.0</v>
      </c>
      <c r="M19" s="1">
        <v>310.0</v>
      </c>
      <c r="N19" s="6" t="s">
        <v>125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1" t="s">
        <v>118</v>
      </c>
      <c r="B20" s="1" t="s">
        <v>132</v>
      </c>
      <c r="C20" s="3">
        <f>+8802588833525</f>
        <v>8802588833525</v>
      </c>
      <c r="D20" s="1" t="s">
        <v>133</v>
      </c>
      <c r="E20" s="1">
        <v>2017.0</v>
      </c>
      <c r="F20" s="1" t="s">
        <v>134</v>
      </c>
      <c r="G20" s="1" t="s">
        <v>135</v>
      </c>
      <c r="H20" s="4" t="s">
        <v>136</v>
      </c>
      <c r="I20" s="4" t="s">
        <v>137</v>
      </c>
      <c r="J20" s="1">
        <v>225.0</v>
      </c>
      <c r="K20" s="1">
        <v>65.0</v>
      </c>
      <c r="L20" s="1">
        <v>110.0</v>
      </c>
      <c r="M20" s="1">
        <v>50.0</v>
      </c>
      <c r="N20" s="6" t="s">
        <v>125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1" t="s">
        <v>118</v>
      </c>
      <c r="B21" s="1" t="s">
        <v>138</v>
      </c>
      <c r="C21" s="3">
        <f>+8802997735008</f>
        <v>8802997735008</v>
      </c>
      <c r="D21" s="1" t="s">
        <v>139</v>
      </c>
      <c r="E21" s="1">
        <v>2018.0</v>
      </c>
      <c r="F21" s="1" t="s">
        <v>140</v>
      </c>
      <c r="G21" s="1" t="s">
        <v>141</v>
      </c>
      <c r="H21" s="4" t="s">
        <v>142</v>
      </c>
      <c r="I21" s="4" t="s">
        <v>143</v>
      </c>
      <c r="J21" s="1">
        <v>290.0</v>
      </c>
      <c r="K21" s="1">
        <v>95.0</v>
      </c>
      <c r="L21" s="1">
        <v>155.0</v>
      </c>
      <c r="M21" s="1">
        <v>40.0</v>
      </c>
      <c r="N21" s="6" t="s">
        <v>125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1">
      <c r="A22" s="1" t="s">
        <v>118</v>
      </c>
      <c r="B22" s="1" t="s">
        <v>144</v>
      </c>
      <c r="C22" s="3">
        <f>+8801712884977</f>
        <v>8801712884977</v>
      </c>
      <c r="D22" s="1" t="s">
        <v>145</v>
      </c>
      <c r="E22" s="1">
        <v>2023.0</v>
      </c>
      <c r="F22" s="1" t="s">
        <v>146</v>
      </c>
      <c r="G22" s="1" t="s">
        <v>147</v>
      </c>
      <c r="H22" s="4" t="s">
        <v>148</v>
      </c>
      <c r="I22" s="4" t="s">
        <v>149</v>
      </c>
      <c r="J22" s="1">
        <v>80.0</v>
      </c>
      <c r="K22" s="1">
        <v>28.0</v>
      </c>
      <c r="L22" s="1">
        <v>28.0</v>
      </c>
      <c r="M22" s="1">
        <v>24.0</v>
      </c>
      <c r="N22" s="6" t="s">
        <v>125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0" customHeight="1">
      <c r="A23" s="1" t="s">
        <v>118</v>
      </c>
      <c r="B23" s="1" t="s">
        <v>150</v>
      </c>
      <c r="C23" s="3">
        <f>+8802998832221</f>
        <v>8802998832221</v>
      </c>
      <c r="D23" s="1" t="s">
        <v>151</v>
      </c>
      <c r="E23" s="1">
        <v>2020.0</v>
      </c>
      <c r="F23" s="1" t="s">
        <v>152</v>
      </c>
      <c r="G23" s="1" t="s">
        <v>153</v>
      </c>
      <c r="H23" s="4" t="s">
        <v>154</v>
      </c>
      <c r="I23" s="4" t="s">
        <v>155</v>
      </c>
      <c r="J23" s="1">
        <v>120.0</v>
      </c>
      <c r="K23" s="1">
        <v>60.0</v>
      </c>
      <c r="L23" s="1">
        <v>30.0</v>
      </c>
      <c r="M23" s="1">
        <v>30.0</v>
      </c>
      <c r="N23" s="6" t="s">
        <v>125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7.0" customHeight="1">
      <c r="A24" s="1" t="s">
        <v>118</v>
      </c>
      <c r="B24" s="1" t="s">
        <v>156</v>
      </c>
      <c r="C24" s="3">
        <f>+8809666911463</f>
        <v>8809666911463</v>
      </c>
      <c r="D24" s="1" t="s">
        <v>157</v>
      </c>
      <c r="E24" s="1">
        <v>2006.0</v>
      </c>
      <c r="F24" s="1" t="s">
        <v>158</v>
      </c>
      <c r="G24" s="1" t="s">
        <v>159</v>
      </c>
      <c r="H24" s="4" t="s">
        <v>160</v>
      </c>
      <c r="I24" s="4" t="s">
        <v>149</v>
      </c>
      <c r="J24" s="1">
        <v>1085.0</v>
      </c>
      <c r="K24" s="1">
        <v>240.0</v>
      </c>
      <c r="L24" s="1">
        <v>635.0</v>
      </c>
      <c r="M24" s="1">
        <v>210.0</v>
      </c>
      <c r="N24" s="6" t="s">
        <v>125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0" customHeight="1">
      <c r="A25" s="1" t="s">
        <v>118</v>
      </c>
      <c r="B25" s="1" t="s">
        <v>161</v>
      </c>
      <c r="C25" s="3">
        <f>+8802223377503</f>
        <v>8802223377503</v>
      </c>
      <c r="D25" s="1" t="s">
        <v>162</v>
      </c>
      <c r="E25" s="1">
        <v>2017.0</v>
      </c>
      <c r="F25" s="1" t="s">
        <v>163</v>
      </c>
      <c r="G25" s="1" t="s">
        <v>164</v>
      </c>
      <c r="H25" s="4" t="s">
        <v>165</v>
      </c>
      <c r="I25" s="4" t="s">
        <v>149</v>
      </c>
      <c r="J25" s="1">
        <v>250.0</v>
      </c>
      <c r="K25" s="1">
        <v>188.0</v>
      </c>
      <c r="L25" s="1">
        <v>31.0</v>
      </c>
      <c r="M25" s="1">
        <v>31.0</v>
      </c>
      <c r="N25" s="6" t="s">
        <v>125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0" customHeight="1">
      <c r="A26" s="1" t="s">
        <v>118</v>
      </c>
      <c r="B26" s="1" t="s">
        <v>166</v>
      </c>
      <c r="C26" s="3">
        <f>+8807174904</f>
        <v>8807174904</v>
      </c>
      <c r="D26" s="1" t="s">
        <v>167</v>
      </c>
      <c r="E26" s="1">
        <v>1979.0</v>
      </c>
      <c r="F26" s="1" t="s">
        <v>168</v>
      </c>
      <c r="G26" s="1" t="s">
        <v>169</v>
      </c>
      <c r="H26" s="4" t="s">
        <v>170</v>
      </c>
      <c r="I26" s="4" t="s">
        <v>149</v>
      </c>
      <c r="J26" s="1">
        <v>1990.0</v>
      </c>
      <c r="K26" s="1">
        <v>550.0</v>
      </c>
      <c r="L26" s="1">
        <v>981.0</v>
      </c>
      <c r="M26" s="1">
        <v>459.0</v>
      </c>
      <c r="N26" s="6" t="s">
        <v>125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1">
      <c r="A27" s="1" t="s">
        <v>118</v>
      </c>
      <c r="B27" s="1" t="s">
        <v>171</v>
      </c>
      <c r="C27" s="3">
        <f>+88026682257</f>
        <v>88026682257</v>
      </c>
      <c r="D27" s="1" t="s">
        <v>172</v>
      </c>
      <c r="E27" s="1">
        <v>2011.0</v>
      </c>
      <c r="F27" s="1" t="s">
        <v>173</v>
      </c>
      <c r="G27" s="1" t="s">
        <v>174</v>
      </c>
      <c r="H27" s="4" t="s">
        <v>175</v>
      </c>
      <c r="I27" s="4" t="s">
        <v>176</v>
      </c>
      <c r="J27" s="1">
        <v>1505.0</v>
      </c>
      <c r="K27" s="1">
        <v>800.0</v>
      </c>
      <c r="L27" s="1">
        <v>445.0</v>
      </c>
      <c r="M27" s="1">
        <v>260.0</v>
      </c>
      <c r="N27" s="6" t="s">
        <v>125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1" t="s">
        <v>118</v>
      </c>
      <c r="B28" s="1" t="s">
        <v>177</v>
      </c>
      <c r="C28" s="3">
        <f>+880241090771</f>
        <v>880241090771</v>
      </c>
      <c r="D28" s="1" t="s">
        <v>178</v>
      </c>
      <c r="E28" s="1">
        <v>2020.0</v>
      </c>
      <c r="F28" s="1" t="s">
        <v>179</v>
      </c>
      <c r="G28" s="1" t="s">
        <v>180</v>
      </c>
      <c r="H28" s="4" t="s">
        <v>181</v>
      </c>
      <c r="I28" s="15" t="s">
        <v>182</v>
      </c>
      <c r="J28" s="1">
        <v>90.0</v>
      </c>
      <c r="K28" s="1">
        <v>60.0</v>
      </c>
      <c r="L28" s="1">
        <v>0.0</v>
      </c>
      <c r="M28" s="1">
        <v>30.0</v>
      </c>
      <c r="N28" s="6" t="s">
        <v>125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0" customHeight="1">
      <c r="A29" s="1" t="s">
        <v>118</v>
      </c>
      <c r="B29" s="1" t="s">
        <v>183</v>
      </c>
      <c r="C29" s="3">
        <f>+8801313013211</f>
        <v>8801313013211</v>
      </c>
      <c r="D29" s="1" t="s">
        <v>184</v>
      </c>
      <c r="E29" s="1">
        <v>2008.0</v>
      </c>
      <c r="F29" s="1" t="s">
        <v>185</v>
      </c>
      <c r="G29" s="1" t="s">
        <v>186</v>
      </c>
      <c r="H29" s="4" t="s">
        <v>187</v>
      </c>
      <c r="I29" s="4" t="s">
        <v>188</v>
      </c>
      <c r="J29" s="1">
        <v>1395.0</v>
      </c>
      <c r="K29" s="1">
        <v>722.0</v>
      </c>
      <c r="L29" s="1">
        <v>398.0</v>
      </c>
      <c r="M29" s="1">
        <v>275.0</v>
      </c>
      <c r="N29" s="6" t="s">
        <v>125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0" customHeight="1">
      <c r="A30" s="1" t="s">
        <v>118</v>
      </c>
      <c r="B30" s="12" t="s">
        <v>189</v>
      </c>
      <c r="C30" s="13">
        <v>8.802224433551E12</v>
      </c>
      <c r="D30" s="12" t="s">
        <v>16</v>
      </c>
      <c r="E30" s="12">
        <v>2024.0</v>
      </c>
      <c r="F30" s="12" t="s">
        <v>190</v>
      </c>
      <c r="G30" s="12" t="s">
        <v>191</v>
      </c>
      <c r="H30" s="14" t="s">
        <v>192</v>
      </c>
      <c r="I30" s="14" t="s">
        <v>149</v>
      </c>
      <c r="J30" s="12">
        <v>50.0</v>
      </c>
      <c r="K30" s="12">
        <v>30.0</v>
      </c>
      <c r="L30" s="12">
        <v>20.0</v>
      </c>
      <c r="M30" s="12" t="s">
        <v>36</v>
      </c>
      <c r="N30" s="6" t="s">
        <v>125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7.0" customHeight="1">
      <c r="A31" s="1" t="s">
        <v>118</v>
      </c>
      <c r="B31" s="12" t="s">
        <v>193</v>
      </c>
      <c r="C31" s="13">
        <f>+8801944827828</f>
        <v>8801944827828</v>
      </c>
      <c r="D31" s="12" t="s">
        <v>194</v>
      </c>
      <c r="E31" s="12">
        <v>2023.0</v>
      </c>
      <c r="F31" s="12" t="s">
        <v>195</v>
      </c>
      <c r="G31" s="12" t="s">
        <v>196</v>
      </c>
      <c r="H31" s="14" t="s">
        <v>197</v>
      </c>
      <c r="I31" s="14" t="s">
        <v>149</v>
      </c>
      <c r="J31" s="12" t="s">
        <v>36</v>
      </c>
      <c r="K31" s="12" t="s">
        <v>36</v>
      </c>
      <c r="L31" s="12" t="s">
        <v>36</v>
      </c>
      <c r="M31" s="12" t="s">
        <v>36</v>
      </c>
      <c r="N31" s="6" t="s">
        <v>125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7.0" customHeight="1">
      <c r="A32" s="1" t="s">
        <v>198</v>
      </c>
      <c r="B32" s="1" t="s">
        <v>199</v>
      </c>
      <c r="C32" s="3">
        <f>+88092155399</f>
        <v>88092155399</v>
      </c>
      <c r="D32" s="1" t="s">
        <v>200</v>
      </c>
      <c r="E32" s="1">
        <v>2001.0</v>
      </c>
      <c r="F32" s="1" t="s">
        <v>201</v>
      </c>
      <c r="G32" s="1" t="s">
        <v>202</v>
      </c>
      <c r="H32" s="4" t="s">
        <v>203</v>
      </c>
      <c r="I32" s="4" t="s">
        <v>204</v>
      </c>
      <c r="J32" s="1">
        <v>815.0</v>
      </c>
      <c r="K32" s="1">
        <v>684.0</v>
      </c>
      <c r="L32" s="1">
        <v>60.0</v>
      </c>
      <c r="M32" s="1">
        <v>71.0</v>
      </c>
      <c r="N32" s="6" t="s">
        <v>205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0" customHeight="1">
      <c r="A33" s="1" t="s">
        <v>198</v>
      </c>
      <c r="B33" s="1" t="s">
        <v>206</v>
      </c>
      <c r="C33" s="3">
        <f>+8801712215160</f>
        <v>8801712215160</v>
      </c>
      <c r="D33" s="1" t="s">
        <v>207</v>
      </c>
      <c r="E33" s="1">
        <v>2020.0</v>
      </c>
      <c r="F33" s="1" t="s">
        <v>208</v>
      </c>
      <c r="G33" s="1" t="s">
        <v>209</v>
      </c>
      <c r="H33" s="4" t="s">
        <v>210</v>
      </c>
      <c r="I33" s="4" t="s">
        <v>149</v>
      </c>
      <c r="J33" s="1">
        <v>160.0</v>
      </c>
      <c r="K33" s="1">
        <v>160.0</v>
      </c>
      <c r="L33" s="1">
        <v>0.0</v>
      </c>
      <c r="M33" s="1">
        <v>0.0</v>
      </c>
      <c r="N33" s="6" t="s">
        <v>205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0" customHeight="1">
      <c r="A34" s="1" t="s">
        <v>198</v>
      </c>
      <c r="B34" s="1" t="s">
        <v>211</v>
      </c>
      <c r="C34" s="1" t="s">
        <v>36</v>
      </c>
      <c r="D34" s="1" t="s">
        <v>212</v>
      </c>
      <c r="E34" s="1">
        <v>2020.0</v>
      </c>
      <c r="F34" s="1" t="s">
        <v>213</v>
      </c>
      <c r="G34" s="1" t="s">
        <v>36</v>
      </c>
      <c r="H34" s="4" t="s">
        <v>214</v>
      </c>
      <c r="I34" s="4" t="s">
        <v>215</v>
      </c>
      <c r="J34" s="1" t="s">
        <v>36</v>
      </c>
      <c r="K34" s="1" t="s">
        <v>36</v>
      </c>
      <c r="L34" s="1" t="s">
        <v>36</v>
      </c>
      <c r="M34" s="1" t="s">
        <v>36</v>
      </c>
      <c r="N34" s="6" t="s">
        <v>205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1">
      <c r="A35" s="1" t="s">
        <v>198</v>
      </c>
      <c r="B35" s="1" t="s">
        <v>216</v>
      </c>
      <c r="C35" s="3">
        <f>+8801710337907</f>
        <v>8801710337907</v>
      </c>
      <c r="D35" s="1" t="s">
        <v>217</v>
      </c>
      <c r="E35" s="1">
        <v>2001.0</v>
      </c>
      <c r="F35" s="1" t="s">
        <v>218</v>
      </c>
      <c r="G35" s="1" t="s">
        <v>219</v>
      </c>
      <c r="H35" s="4" t="s">
        <v>220</v>
      </c>
      <c r="I35" s="4" t="s">
        <v>149</v>
      </c>
      <c r="J35" s="1">
        <v>275.0</v>
      </c>
      <c r="K35" s="1">
        <v>150.0</v>
      </c>
      <c r="L35" s="1">
        <v>25.0</v>
      </c>
      <c r="M35" s="1">
        <v>100.0</v>
      </c>
      <c r="N35" s="6" t="s">
        <v>205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1">
      <c r="A36" s="1" t="s">
        <v>198</v>
      </c>
      <c r="B36" s="1" t="s">
        <v>221</v>
      </c>
      <c r="C36" s="3">
        <f>+8802479938045</f>
        <v>8802479938045</v>
      </c>
      <c r="D36" s="1" t="s">
        <v>222</v>
      </c>
      <c r="E36" s="1">
        <v>2022.0</v>
      </c>
      <c r="F36" s="1" t="s">
        <v>223</v>
      </c>
      <c r="G36" s="1" t="s">
        <v>224</v>
      </c>
      <c r="H36" s="4" t="s">
        <v>225</v>
      </c>
      <c r="I36" s="4" t="s">
        <v>226</v>
      </c>
      <c r="J36" s="1">
        <v>160.0</v>
      </c>
      <c r="K36" s="1">
        <v>160.0</v>
      </c>
      <c r="L36" s="1">
        <v>0.0</v>
      </c>
      <c r="M36" s="1">
        <v>0.0</v>
      </c>
      <c r="N36" s="6" t="s">
        <v>205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1">
      <c r="A37" s="1" t="s">
        <v>198</v>
      </c>
      <c r="B37" s="1" t="s">
        <v>227</v>
      </c>
      <c r="C37" s="3">
        <f>+8802478883476</f>
        <v>8802478883476</v>
      </c>
      <c r="D37" s="1" t="s">
        <v>228</v>
      </c>
      <c r="E37" s="1">
        <v>2000.0</v>
      </c>
      <c r="F37" s="1" t="s">
        <v>229</v>
      </c>
      <c r="G37" s="1" t="s">
        <v>230</v>
      </c>
      <c r="H37" s="4" t="s">
        <v>231</v>
      </c>
      <c r="I37" s="4" t="s">
        <v>232</v>
      </c>
      <c r="J37" s="1">
        <v>730.0</v>
      </c>
      <c r="K37" s="1">
        <v>636.0</v>
      </c>
      <c r="L37" s="1">
        <v>27.0</v>
      </c>
      <c r="M37" s="1">
        <v>67.0</v>
      </c>
      <c r="N37" s="6" t="s">
        <v>205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1">
      <c r="A38" s="1" t="s">
        <v>198</v>
      </c>
      <c r="B38" s="1" t="s">
        <v>233</v>
      </c>
      <c r="C38" s="3">
        <f>+8802588845193</f>
        <v>8802588845193</v>
      </c>
      <c r="D38" s="1" t="s">
        <v>234</v>
      </c>
      <c r="E38" s="1">
        <v>2008.0</v>
      </c>
      <c r="F38" s="1" t="s">
        <v>235</v>
      </c>
      <c r="G38" s="1" t="s">
        <v>236</v>
      </c>
      <c r="H38" s="4" t="s">
        <v>237</v>
      </c>
      <c r="I38" s="4" t="s">
        <v>238</v>
      </c>
      <c r="J38" s="1">
        <v>920.0</v>
      </c>
      <c r="K38" s="1">
        <v>650.0</v>
      </c>
      <c r="L38" s="1">
        <v>170.0</v>
      </c>
      <c r="M38" s="1">
        <v>100.0</v>
      </c>
      <c r="N38" s="6" t="s">
        <v>205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1">
      <c r="A39" s="1" t="s">
        <v>198</v>
      </c>
      <c r="B39" s="1" t="s">
        <v>239</v>
      </c>
      <c r="C39" s="3">
        <f>+88032171486</f>
        <v>88032171486</v>
      </c>
      <c r="D39" s="1" t="s">
        <v>240</v>
      </c>
      <c r="E39" s="1">
        <v>2006.0</v>
      </c>
      <c r="F39" s="1" t="s">
        <v>241</v>
      </c>
      <c r="G39" s="1" t="s">
        <v>242</v>
      </c>
      <c r="H39" s="4" t="s">
        <v>243</v>
      </c>
      <c r="I39" s="4" t="s">
        <v>244</v>
      </c>
      <c r="J39" s="1">
        <v>1380.0</v>
      </c>
      <c r="K39" s="1">
        <v>1144.0</v>
      </c>
      <c r="L39" s="1">
        <v>116.0</v>
      </c>
      <c r="M39" s="1">
        <v>120.0</v>
      </c>
      <c r="N39" s="6" t="s">
        <v>205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0" customHeight="1">
      <c r="A40" s="1" t="s">
        <v>198</v>
      </c>
      <c r="B40" s="1" t="s">
        <v>245</v>
      </c>
      <c r="C40" s="3">
        <f>+88042161111</f>
        <v>88042161111</v>
      </c>
      <c r="D40" s="1" t="s">
        <v>246</v>
      </c>
      <c r="E40" s="1">
        <v>2007.0</v>
      </c>
      <c r="F40" s="1" t="s">
        <v>247</v>
      </c>
      <c r="G40" s="1" t="s">
        <v>248</v>
      </c>
      <c r="H40" s="4" t="s">
        <v>249</v>
      </c>
      <c r="I40" s="4" t="s">
        <v>250</v>
      </c>
      <c r="J40" s="1">
        <v>935.0</v>
      </c>
      <c r="K40" s="1">
        <v>805.0</v>
      </c>
      <c r="L40" s="1">
        <v>40.0</v>
      </c>
      <c r="M40" s="1">
        <v>90.0</v>
      </c>
      <c r="N40" s="6" t="s">
        <v>205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1" t="s">
        <v>198</v>
      </c>
      <c r="B41" s="12" t="s">
        <v>251</v>
      </c>
      <c r="C41" s="13">
        <v>8.801313032541E12</v>
      </c>
      <c r="D41" s="12" t="s">
        <v>252</v>
      </c>
      <c r="E41" s="12">
        <v>2018.0</v>
      </c>
      <c r="F41" s="12" t="s">
        <v>253</v>
      </c>
      <c r="G41" s="12" t="s">
        <v>254</v>
      </c>
      <c r="H41" s="14" t="s">
        <v>255</v>
      </c>
      <c r="I41" s="14" t="s">
        <v>149</v>
      </c>
      <c r="J41" s="12">
        <v>100.0</v>
      </c>
      <c r="K41" s="12">
        <v>100.0</v>
      </c>
      <c r="L41" s="12" t="s">
        <v>36</v>
      </c>
      <c r="M41" s="12" t="s">
        <v>36</v>
      </c>
      <c r="N41" s="6" t="s">
        <v>205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7.0" customHeight="1">
      <c r="A42" s="1" t="s">
        <v>256</v>
      </c>
      <c r="B42" s="1" t="s">
        <v>257</v>
      </c>
      <c r="C42" s="1">
        <v>8.80871612E10</v>
      </c>
      <c r="D42" s="1" t="s">
        <v>258</v>
      </c>
      <c r="E42" s="1">
        <v>2020.0</v>
      </c>
      <c r="F42" s="1" t="s">
        <v>259</v>
      </c>
      <c r="G42" s="1" t="s">
        <v>260</v>
      </c>
      <c r="H42" s="4" t="s">
        <v>261</v>
      </c>
      <c r="I42" s="4" t="s">
        <v>262</v>
      </c>
      <c r="J42" s="1">
        <v>50.0</v>
      </c>
      <c r="K42" s="1">
        <v>50.0</v>
      </c>
      <c r="L42" s="1" t="s">
        <v>36</v>
      </c>
      <c r="M42" s="1" t="s">
        <v>36</v>
      </c>
      <c r="N42" s="6" t="s">
        <v>263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1">
      <c r="A43" s="1" t="s">
        <v>256</v>
      </c>
      <c r="B43" s="1" t="s">
        <v>264</v>
      </c>
      <c r="C43" s="1">
        <v>8.80257316558E11</v>
      </c>
      <c r="D43" s="1" t="s">
        <v>265</v>
      </c>
      <c r="E43" s="1">
        <v>1858.0</v>
      </c>
      <c r="F43" s="1" t="s">
        <v>266</v>
      </c>
      <c r="G43" s="1" t="s">
        <v>267</v>
      </c>
      <c r="H43" s="4" t="s">
        <v>268</v>
      </c>
      <c r="I43" s="4" t="s">
        <v>262</v>
      </c>
      <c r="J43" s="1">
        <v>250.0</v>
      </c>
      <c r="K43" s="1">
        <v>250.0</v>
      </c>
      <c r="L43" s="1" t="s">
        <v>36</v>
      </c>
      <c r="M43" s="1" t="s">
        <v>36</v>
      </c>
      <c r="N43" s="6" t="s">
        <v>263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1">
      <c r="A44" s="1" t="s">
        <v>256</v>
      </c>
      <c r="B44" s="1" t="s">
        <v>269</v>
      </c>
      <c r="C44" s="1">
        <v>8.804312173547E12</v>
      </c>
      <c r="D44" s="1" t="s">
        <v>270</v>
      </c>
      <c r="E44" s="1">
        <v>1968.0</v>
      </c>
      <c r="F44" s="1" t="s">
        <v>271</v>
      </c>
      <c r="G44" s="1" t="s">
        <v>272</v>
      </c>
      <c r="H44" s="4" t="s">
        <v>273</v>
      </c>
      <c r="I44" s="4" t="s">
        <v>262</v>
      </c>
      <c r="J44" s="1">
        <v>225.0</v>
      </c>
      <c r="K44" s="1">
        <v>225.0</v>
      </c>
      <c r="L44" s="1" t="s">
        <v>36</v>
      </c>
      <c r="M44" s="1" t="s">
        <v>36</v>
      </c>
      <c r="N44" s="6" t="s">
        <v>263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1">
      <c r="A45" s="1" t="s">
        <v>256</v>
      </c>
      <c r="B45" s="1" t="s">
        <v>274</v>
      </c>
      <c r="C45" s="1">
        <v>8.8026682255E10</v>
      </c>
      <c r="D45" s="1" t="s">
        <v>275</v>
      </c>
      <c r="E45" s="1">
        <v>2011.0</v>
      </c>
      <c r="F45" s="1" t="s">
        <v>276</v>
      </c>
      <c r="G45" s="1" t="s">
        <v>277</v>
      </c>
      <c r="H45" s="4" t="s">
        <v>278</v>
      </c>
      <c r="I45" s="4" t="s">
        <v>262</v>
      </c>
      <c r="J45" s="1">
        <v>125.0</v>
      </c>
      <c r="K45" s="1">
        <v>125.0</v>
      </c>
      <c r="L45" s="1" t="s">
        <v>36</v>
      </c>
      <c r="M45" s="1" t="s">
        <v>36</v>
      </c>
      <c r="N45" s="6" t="s">
        <v>263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0" customHeight="1">
      <c r="A46" s="1" t="s">
        <v>256</v>
      </c>
      <c r="B46" s="1" t="s">
        <v>279</v>
      </c>
      <c r="C46" s="1">
        <v>8.8092161301E10</v>
      </c>
      <c r="D46" s="1" t="s">
        <v>280</v>
      </c>
      <c r="E46" s="1">
        <v>2014.0</v>
      </c>
      <c r="F46" s="1" t="s">
        <v>281</v>
      </c>
      <c r="G46" s="1" t="s">
        <v>282</v>
      </c>
      <c r="H46" s="4" t="s">
        <v>283</v>
      </c>
      <c r="I46" s="4" t="s">
        <v>262</v>
      </c>
      <c r="J46" s="1">
        <v>125.0</v>
      </c>
      <c r="K46" s="1">
        <v>125.0</v>
      </c>
      <c r="L46" s="1" t="s">
        <v>36</v>
      </c>
      <c r="M46" s="1" t="s">
        <v>36</v>
      </c>
      <c r="N46" s="6" t="s">
        <v>263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1">
      <c r="A47" s="1" t="s">
        <v>256</v>
      </c>
      <c r="B47" s="1" t="s">
        <v>284</v>
      </c>
      <c r="C47" s="1">
        <v>8.8083161244E10</v>
      </c>
      <c r="D47" s="1" t="s">
        <v>285</v>
      </c>
      <c r="E47" s="1">
        <v>2018.0</v>
      </c>
      <c r="F47" s="1" t="s">
        <v>286</v>
      </c>
      <c r="G47" s="1" t="s">
        <v>287</v>
      </c>
      <c r="H47" s="4" t="s">
        <v>288</v>
      </c>
      <c r="I47" s="4" t="s">
        <v>262</v>
      </c>
      <c r="J47" s="1">
        <v>50.0</v>
      </c>
      <c r="K47" s="1">
        <v>50.0</v>
      </c>
      <c r="L47" s="1" t="s">
        <v>36</v>
      </c>
      <c r="M47" s="1" t="s">
        <v>36</v>
      </c>
      <c r="N47" s="6" t="s">
        <v>263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0" customHeight="1">
      <c r="A48" s="1" t="s">
        <v>256</v>
      </c>
      <c r="B48" s="1" t="s">
        <v>289</v>
      </c>
      <c r="C48" s="1">
        <v>8.805166247E9</v>
      </c>
      <c r="D48" s="1" t="s">
        <v>290</v>
      </c>
      <c r="E48" s="1">
        <v>1992.0</v>
      </c>
      <c r="F48" s="1" t="s">
        <v>291</v>
      </c>
      <c r="G48" s="1" t="s">
        <v>292</v>
      </c>
      <c r="H48" s="4" t="s">
        <v>293</v>
      </c>
      <c r="I48" s="4" t="s">
        <v>262</v>
      </c>
      <c r="J48" s="1">
        <v>225.0</v>
      </c>
      <c r="K48" s="1">
        <v>225.0</v>
      </c>
      <c r="L48" s="1" t="s">
        <v>36</v>
      </c>
      <c r="M48" s="1" t="s">
        <v>36</v>
      </c>
      <c r="N48" s="6" t="s">
        <v>263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0" customHeight="1">
      <c r="A49" s="1" t="s">
        <v>256</v>
      </c>
      <c r="B49" s="1" t="s">
        <v>294</v>
      </c>
      <c r="C49" s="1">
        <v>8.8029263155E10</v>
      </c>
      <c r="D49" s="1" t="s">
        <v>295</v>
      </c>
      <c r="E49" s="1">
        <v>2013.0</v>
      </c>
      <c r="F49" s="1" t="s">
        <v>296</v>
      </c>
      <c r="G49" s="1" t="s">
        <v>297</v>
      </c>
      <c r="H49" s="4" t="s">
        <v>298</v>
      </c>
      <c r="I49" s="4" t="s">
        <v>262</v>
      </c>
      <c r="J49" s="1">
        <v>125.0</v>
      </c>
      <c r="K49" s="1">
        <v>125.0</v>
      </c>
      <c r="L49" s="1" t="s">
        <v>36</v>
      </c>
      <c r="M49" s="1" t="s">
        <v>36</v>
      </c>
      <c r="N49" s="6" t="s">
        <v>263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0" customHeight="1">
      <c r="A50" s="1" t="s">
        <v>256</v>
      </c>
      <c r="B50" s="1" t="s">
        <v>299</v>
      </c>
      <c r="C50" s="1">
        <v>8.8094161271E10</v>
      </c>
      <c r="D50" s="1" t="s">
        <v>300</v>
      </c>
      <c r="E50" s="1">
        <v>2011.0</v>
      </c>
      <c r="F50" s="1" t="s">
        <v>301</v>
      </c>
      <c r="G50" s="1" t="s">
        <v>302</v>
      </c>
      <c r="H50" s="4" t="s">
        <v>303</v>
      </c>
      <c r="I50" s="4" t="s">
        <v>262</v>
      </c>
      <c r="J50" s="1">
        <v>70.0</v>
      </c>
      <c r="K50" s="1">
        <v>70.0</v>
      </c>
      <c r="L50" s="1" t="s">
        <v>36</v>
      </c>
      <c r="M50" s="1" t="s">
        <v>36</v>
      </c>
      <c r="N50" s="6" t="s">
        <v>263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0" customHeight="1">
      <c r="A51" s="1" t="s">
        <v>256</v>
      </c>
      <c r="B51" s="1" t="s">
        <v>304</v>
      </c>
      <c r="C51" s="1">
        <v>8.8024811368E11</v>
      </c>
      <c r="D51" s="1" t="s">
        <v>305</v>
      </c>
      <c r="E51" s="1">
        <v>2006.0</v>
      </c>
      <c r="F51" s="1" t="s">
        <v>306</v>
      </c>
      <c r="G51" s="1" t="s">
        <v>307</v>
      </c>
      <c r="H51" s="4" t="s">
        <v>308</v>
      </c>
      <c r="I51" s="4" t="s">
        <v>262</v>
      </c>
      <c r="J51" s="1">
        <v>250.0</v>
      </c>
      <c r="K51" s="1">
        <v>250.0</v>
      </c>
      <c r="L51" s="1" t="s">
        <v>36</v>
      </c>
      <c r="M51" s="1" t="s">
        <v>36</v>
      </c>
      <c r="N51" s="6" t="s">
        <v>263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1">
      <c r="A52" s="1" t="s">
        <v>256</v>
      </c>
      <c r="B52" s="1" t="s">
        <v>309</v>
      </c>
      <c r="C52" s="1">
        <v>8.8075164471E10</v>
      </c>
      <c r="D52" s="1" t="s">
        <v>310</v>
      </c>
      <c r="E52" s="1">
        <v>2014.0</v>
      </c>
      <c r="F52" s="1" t="s">
        <v>311</v>
      </c>
      <c r="G52" s="1" t="s">
        <v>312</v>
      </c>
      <c r="H52" s="4" t="s">
        <v>313</v>
      </c>
      <c r="I52" s="4" t="s">
        <v>262</v>
      </c>
      <c r="J52" s="1">
        <v>70.0</v>
      </c>
      <c r="K52" s="1">
        <v>70.0</v>
      </c>
      <c r="L52" s="1" t="s">
        <v>36</v>
      </c>
      <c r="M52" s="1" t="s">
        <v>36</v>
      </c>
      <c r="N52" s="6" t="s">
        <v>263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1">
      <c r="A53" s="1" t="s">
        <v>256</v>
      </c>
      <c r="B53" s="1" t="s">
        <v>314</v>
      </c>
      <c r="C53" s="1">
        <v>8.8047164402E10</v>
      </c>
      <c r="D53" s="1" t="s">
        <v>315</v>
      </c>
      <c r="E53" s="1">
        <v>2011.0</v>
      </c>
      <c r="F53" s="1" t="s">
        <v>316</v>
      </c>
      <c r="G53" s="1" t="s">
        <v>317</v>
      </c>
      <c r="H53" s="4" t="s">
        <v>318</v>
      </c>
      <c r="I53" s="4" t="s">
        <v>262</v>
      </c>
      <c r="J53" s="1">
        <v>70.0</v>
      </c>
      <c r="K53" s="1">
        <v>70.0</v>
      </c>
      <c r="L53" s="1" t="s">
        <v>36</v>
      </c>
      <c r="M53" s="1" t="s">
        <v>36</v>
      </c>
      <c r="N53" s="6" t="s">
        <v>263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0" customHeight="1">
      <c r="A54" s="1" t="s">
        <v>256</v>
      </c>
      <c r="B54" s="1" t="s">
        <v>319</v>
      </c>
      <c r="C54" s="1">
        <v>8.805216233E10</v>
      </c>
      <c r="D54" s="1" t="s">
        <v>320</v>
      </c>
      <c r="E54" s="1">
        <v>1970.0</v>
      </c>
      <c r="F54" s="1" t="s">
        <v>321</v>
      </c>
      <c r="G54" s="1" t="s">
        <v>322</v>
      </c>
      <c r="H54" s="4" t="s">
        <v>323</v>
      </c>
      <c r="I54" s="4" t="s">
        <v>262</v>
      </c>
      <c r="J54" s="1">
        <v>225.0</v>
      </c>
      <c r="K54" s="1">
        <v>225.0</v>
      </c>
      <c r="L54" s="1" t="s">
        <v>36</v>
      </c>
      <c r="M54" s="1" t="s">
        <v>36</v>
      </c>
      <c r="N54" s="6" t="s">
        <v>263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1">
      <c r="A55" s="1" t="s">
        <v>256</v>
      </c>
      <c r="B55" s="1" t="s">
        <v>324</v>
      </c>
      <c r="C55" s="1">
        <v>8.8035161042E10</v>
      </c>
      <c r="D55" s="1" t="s">
        <v>325</v>
      </c>
      <c r="E55" s="1">
        <v>2014.0</v>
      </c>
      <c r="F55" s="1" t="s">
        <v>326</v>
      </c>
      <c r="G55" s="1" t="s">
        <v>327</v>
      </c>
      <c r="H55" s="4" t="s">
        <v>328</v>
      </c>
      <c r="I55" s="4" t="s">
        <v>262</v>
      </c>
      <c r="J55" s="1">
        <v>51.0</v>
      </c>
      <c r="K55" s="1">
        <v>51.0</v>
      </c>
      <c r="L55" s="1" t="s">
        <v>36</v>
      </c>
      <c r="M55" s="1" t="s">
        <v>36</v>
      </c>
      <c r="N55" s="6" t="s">
        <v>263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1">
      <c r="A56" s="1" t="s">
        <v>256</v>
      </c>
      <c r="B56" s="1" t="s">
        <v>329</v>
      </c>
      <c r="C56" s="1">
        <v>8.80247812166E11</v>
      </c>
      <c r="D56" s="1" t="s">
        <v>330</v>
      </c>
      <c r="E56" s="1">
        <v>2016.0</v>
      </c>
      <c r="F56" s="1" t="s">
        <v>331</v>
      </c>
      <c r="G56" s="1" t="s">
        <v>332</v>
      </c>
      <c r="H56" s="4" t="s">
        <v>333</v>
      </c>
      <c r="I56" s="4" t="s">
        <v>334</v>
      </c>
      <c r="J56" s="1" t="s">
        <v>36</v>
      </c>
      <c r="K56" s="1" t="s">
        <v>36</v>
      </c>
      <c r="L56" s="1" t="s">
        <v>36</v>
      </c>
      <c r="M56" s="1" t="s">
        <v>36</v>
      </c>
      <c r="N56" s="6" t="s">
        <v>263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1">
      <c r="A57" s="1" t="s">
        <v>256</v>
      </c>
      <c r="B57" s="1" t="s">
        <v>335</v>
      </c>
      <c r="C57" s="1">
        <v>8.8072177215E11</v>
      </c>
      <c r="D57" s="1" t="s">
        <v>336</v>
      </c>
      <c r="E57" s="1">
        <v>1958.0</v>
      </c>
      <c r="F57" s="1" t="s">
        <v>337</v>
      </c>
      <c r="G57" s="1" t="s">
        <v>338</v>
      </c>
      <c r="H57" s="4" t="s">
        <v>339</v>
      </c>
      <c r="I57" s="4" t="s">
        <v>262</v>
      </c>
      <c r="J57" s="1">
        <v>225.0</v>
      </c>
      <c r="K57" s="1">
        <v>225.0</v>
      </c>
      <c r="L57" s="1" t="s">
        <v>36</v>
      </c>
      <c r="M57" s="1" t="s">
        <v>36</v>
      </c>
      <c r="N57" s="6" t="s">
        <v>263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1">
      <c r="A58" s="1" t="s">
        <v>256</v>
      </c>
      <c r="B58" s="1" t="s">
        <v>340</v>
      </c>
      <c r="C58" s="1">
        <v>8.80441634E10</v>
      </c>
      <c r="D58" s="1" t="s">
        <v>341</v>
      </c>
      <c r="E58" s="1">
        <v>2014.0</v>
      </c>
      <c r="F58" s="1" t="s">
        <v>342</v>
      </c>
      <c r="G58" s="1" t="s">
        <v>343</v>
      </c>
      <c r="H58" s="4" t="s">
        <v>344</v>
      </c>
      <c r="I58" s="4" t="s">
        <v>262</v>
      </c>
      <c r="J58" s="1">
        <v>100.0</v>
      </c>
      <c r="K58" s="1">
        <v>100.0</v>
      </c>
      <c r="L58" s="1" t="s">
        <v>36</v>
      </c>
      <c r="M58" s="1" t="s">
        <v>36</v>
      </c>
      <c r="N58" s="6" t="s">
        <v>263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0" customHeight="1">
      <c r="A59" s="1" t="s">
        <v>256</v>
      </c>
      <c r="B59" s="1" t="s">
        <v>345</v>
      </c>
      <c r="C59" s="1">
        <v>8.8073164923E10</v>
      </c>
      <c r="D59" s="1" t="s">
        <v>346</v>
      </c>
      <c r="E59" s="1">
        <v>2008.0</v>
      </c>
      <c r="F59" s="1" t="s">
        <v>347</v>
      </c>
      <c r="G59" s="1" t="s">
        <v>348</v>
      </c>
      <c r="H59" s="4" t="s">
        <v>349</v>
      </c>
      <c r="I59" s="4" t="s">
        <v>262</v>
      </c>
      <c r="J59" s="1">
        <v>65.0</v>
      </c>
      <c r="K59" s="1">
        <v>65.0</v>
      </c>
      <c r="L59" s="1" t="s">
        <v>36</v>
      </c>
      <c r="M59" s="1" t="s">
        <v>36</v>
      </c>
      <c r="N59" s="6" t="s">
        <v>263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0" customHeight="1">
      <c r="A60" s="1" t="s">
        <v>256</v>
      </c>
      <c r="B60" s="1" t="s">
        <v>350</v>
      </c>
      <c r="C60" s="1">
        <v>8.80551614E10</v>
      </c>
      <c r="D60" s="1" t="s">
        <v>351</v>
      </c>
      <c r="E60" s="1">
        <v>2018.0</v>
      </c>
      <c r="F60" s="1" t="s">
        <v>352</v>
      </c>
      <c r="G60" s="1" t="s">
        <v>353</v>
      </c>
      <c r="H60" s="4" t="s">
        <v>354</v>
      </c>
      <c r="I60" s="4" t="s">
        <v>262</v>
      </c>
      <c r="J60" s="1">
        <v>70.0</v>
      </c>
      <c r="K60" s="1">
        <v>70.0</v>
      </c>
      <c r="L60" s="1" t="s">
        <v>36</v>
      </c>
      <c r="M60" s="1" t="s">
        <v>36</v>
      </c>
      <c r="N60" s="6" t="s">
        <v>263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0" customHeight="1">
      <c r="A61" s="1" t="s">
        <v>256</v>
      </c>
      <c r="B61" s="1" t="s">
        <v>355</v>
      </c>
      <c r="C61" s="1">
        <v>8.8093161555E10</v>
      </c>
      <c r="D61" s="1" t="s">
        <v>356</v>
      </c>
      <c r="E61" s="1">
        <v>2018.0</v>
      </c>
      <c r="F61" s="1" t="s">
        <v>357</v>
      </c>
      <c r="G61" s="1" t="s">
        <v>358</v>
      </c>
      <c r="H61" s="4" t="s">
        <v>359</v>
      </c>
      <c r="I61" s="4" t="s">
        <v>262</v>
      </c>
      <c r="J61" s="1">
        <v>70.0</v>
      </c>
      <c r="K61" s="1">
        <v>70.0</v>
      </c>
      <c r="L61" s="1" t="s">
        <v>36</v>
      </c>
      <c r="M61" s="1" t="s">
        <v>36</v>
      </c>
      <c r="N61" s="6" t="s">
        <v>263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0" customHeight="1">
      <c r="A62" s="1" t="s">
        <v>256</v>
      </c>
      <c r="B62" s="1" t="s">
        <v>360</v>
      </c>
      <c r="C62" s="1">
        <v>8.80741613E10</v>
      </c>
      <c r="D62" s="1" t="s">
        <v>361</v>
      </c>
      <c r="E62" s="1">
        <v>2018.0</v>
      </c>
      <c r="F62" s="1" t="s">
        <v>362</v>
      </c>
      <c r="G62" s="1" t="s">
        <v>363</v>
      </c>
      <c r="H62" s="4" t="s">
        <v>364</v>
      </c>
      <c r="I62" s="4" t="s">
        <v>262</v>
      </c>
      <c r="J62" s="1">
        <v>70.0</v>
      </c>
      <c r="K62" s="1">
        <v>70.0</v>
      </c>
      <c r="L62" s="1" t="s">
        <v>36</v>
      </c>
      <c r="M62" s="1" t="s">
        <v>36</v>
      </c>
      <c r="N62" s="6" t="s">
        <v>263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0" customHeight="1">
      <c r="A63" s="1" t="s">
        <v>256</v>
      </c>
      <c r="B63" s="1" t="s">
        <v>365</v>
      </c>
      <c r="C63" s="1" t="s">
        <v>366</v>
      </c>
      <c r="D63" s="1" t="s">
        <v>367</v>
      </c>
      <c r="E63" s="1">
        <v>1962.0</v>
      </c>
      <c r="F63" s="1" t="s">
        <v>368</v>
      </c>
      <c r="G63" s="1" t="s">
        <v>369</v>
      </c>
      <c r="H63" s="4" t="s">
        <v>370</v>
      </c>
      <c r="I63" s="4" t="s">
        <v>262</v>
      </c>
      <c r="J63" s="1">
        <v>250.0</v>
      </c>
      <c r="K63" s="1">
        <v>250.0</v>
      </c>
      <c r="L63" s="1" t="s">
        <v>36</v>
      </c>
      <c r="M63" s="1" t="s">
        <v>36</v>
      </c>
      <c r="N63" s="6" t="s">
        <v>263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1">
      <c r="A64" s="1" t="s">
        <v>256</v>
      </c>
      <c r="B64" s="1" t="s">
        <v>371</v>
      </c>
      <c r="C64" s="1">
        <v>8.802727634E10</v>
      </c>
      <c r="D64" s="1" t="s">
        <v>372</v>
      </c>
      <c r="E64" s="1">
        <v>2015.0</v>
      </c>
      <c r="F64" s="1" t="s">
        <v>373</v>
      </c>
      <c r="G64" s="1" t="s">
        <v>374</v>
      </c>
      <c r="H64" s="4" t="s">
        <v>375</v>
      </c>
      <c r="I64" s="4" t="s">
        <v>262</v>
      </c>
      <c r="J64" s="1">
        <v>100.0</v>
      </c>
      <c r="K64" s="1">
        <v>100.0</v>
      </c>
      <c r="L64" s="1" t="s">
        <v>36</v>
      </c>
      <c r="M64" s="1" t="s">
        <v>36</v>
      </c>
      <c r="N64" s="6" t="s">
        <v>263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1">
      <c r="A65" s="1" t="s">
        <v>256</v>
      </c>
      <c r="B65" s="1" t="s">
        <v>376</v>
      </c>
      <c r="C65" s="1">
        <v>8.80488623E10</v>
      </c>
      <c r="D65" s="1" t="s">
        <v>377</v>
      </c>
      <c r="E65" s="1">
        <v>2018.0</v>
      </c>
      <c r="F65" s="1" t="s">
        <v>378</v>
      </c>
      <c r="G65" s="1" t="s">
        <v>379</v>
      </c>
      <c r="H65" s="4" t="s">
        <v>380</v>
      </c>
      <c r="I65" s="4" t="s">
        <v>262</v>
      </c>
      <c r="J65" s="1">
        <v>70.0</v>
      </c>
      <c r="K65" s="1">
        <v>70.0</v>
      </c>
      <c r="L65" s="1" t="s">
        <v>36</v>
      </c>
      <c r="M65" s="1" t="s">
        <v>36</v>
      </c>
      <c r="N65" s="6" t="s">
        <v>263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1">
      <c r="A66" s="1" t="s">
        <v>256</v>
      </c>
      <c r="B66" s="1" t="s">
        <v>381</v>
      </c>
      <c r="C66" s="1">
        <v>8.808217144E11</v>
      </c>
      <c r="D66" s="1" t="s">
        <v>382</v>
      </c>
      <c r="E66" s="1">
        <v>1962.0</v>
      </c>
      <c r="F66" s="1" t="s">
        <v>383</v>
      </c>
      <c r="G66" s="1" t="s">
        <v>384</v>
      </c>
      <c r="H66" s="4" t="s">
        <v>385</v>
      </c>
      <c r="I66" s="4" t="s">
        <v>262</v>
      </c>
      <c r="J66" s="1">
        <v>250.0</v>
      </c>
      <c r="K66" s="1">
        <v>250.0</v>
      </c>
      <c r="L66" s="1" t="s">
        <v>36</v>
      </c>
      <c r="M66" s="1" t="s">
        <v>36</v>
      </c>
      <c r="N66" s="6" t="s">
        <v>263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1">
      <c r="A67" s="1" t="s">
        <v>256</v>
      </c>
      <c r="B67" s="1" t="s">
        <v>386</v>
      </c>
      <c r="C67" s="1">
        <v>8.8053165215E10</v>
      </c>
      <c r="D67" s="1" t="s">
        <v>387</v>
      </c>
      <c r="E67" s="1">
        <v>1992.0</v>
      </c>
      <c r="F67" s="1" t="s">
        <v>388</v>
      </c>
      <c r="G67" s="1" t="s">
        <v>389</v>
      </c>
      <c r="H67" s="4" t="s">
        <v>390</v>
      </c>
      <c r="I67" s="4" t="s">
        <v>262</v>
      </c>
      <c r="J67" s="1">
        <v>225.0</v>
      </c>
      <c r="K67" s="1">
        <v>225.0</v>
      </c>
      <c r="L67" s="1" t="s">
        <v>36</v>
      </c>
      <c r="M67" s="1" t="s">
        <v>36</v>
      </c>
      <c r="N67" s="6" t="s">
        <v>263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0" customHeight="1">
      <c r="A68" s="1" t="s">
        <v>256</v>
      </c>
      <c r="B68" s="1" t="s">
        <v>391</v>
      </c>
      <c r="C68" s="1">
        <v>8.807173255E9</v>
      </c>
      <c r="D68" s="1" t="s">
        <v>392</v>
      </c>
      <c r="E68" s="1">
        <v>2011.0</v>
      </c>
      <c r="F68" s="1" t="s">
        <v>393</v>
      </c>
      <c r="G68" s="1" t="s">
        <v>394</v>
      </c>
      <c r="H68" s="4" t="s">
        <v>395</v>
      </c>
      <c r="I68" s="4" t="s">
        <v>262</v>
      </c>
      <c r="J68" s="1">
        <v>65.0</v>
      </c>
      <c r="K68" s="1">
        <v>65.0</v>
      </c>
      <c r="L68" s="1" t="s">
        <v>36</v>
      </c>
      <c r="M68" s="1" t="s">
        <v>36</v>
      </c>
      <c r="N68" s="6" t="s">
        <v>263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0" customHeight="1">
      <c r="A69" s="1" t="s">
        <v>256</v>
      </c>
      <c r="B69" s="1" t="s">
        <v>396</v>
      </c>
      <c r="C69" s="1">
        <v>8.801911840095E12</v>
      </c>
      <c r="D69" s="1" t="s">
        <v>397</v>
      </c>
      <c r="E69" s="1">
        <v>2021.0</v>
      </c>
      <c r="F69" s="1" t="s">
        <v>398</v>
      </c>
      <c r="G69" s="1" t="s">
        <v>399</v>
      </c>
      <c r="H69" s="4" t="s">
        <v>400</v>
      </c>
      <c r="I69" s="4" t="s">
        <v>334</v>
      </c>
      <c r="J69" s="1" t="s">
        <v>36</v>
      </c>
      <c r="K69" s="1" t="s">
        <v>36</v>
      </c>
      <c r="L69" s="1" t="s">
        <v>36</v>
      </c>
      <c r="M69" s="1" t="s">
        <v>36</v>
      </c>
      <c r="N69" s="6" t="s">
        <v>263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0" customHeight="1">
      <c r="A70" s="1" t="s">
        <v>256</v>
      </c>
      <c r="B70" s="1" t="s">
        <v>401</v>
      </c>
      <c r="C70" s="1">
        <v>8.804176035E10</v>
      </c>
      <c r="D70" s="1" t="s">
        <v>402</v>
      </c>
      <c r="E70" s="1">
        <v>1992.0</v>
      </c>
      <c r="F70" s="1" t="s">
        <v>403</v>
      </c>
      <c r="G70" s="1" t="s">
        <v>404</v>
      </c>
      <c r="H70" s="4" t="s">
        <v>405</v>
      </c>
      <c r="I70" s="4" t="s">
        <v>262</v>
      </c>
      <c r="J70" s="1">
        <v>200.0</v>
      </c>
      <c r="K70" s="1">
        <v>200.0</v>
      </c>
      <c r="L70" s="1" t="s">
        <v>36</v>
      </c>
      <c r="M70" s="1" t="s">
        <v>36</v>
      </c>
      <c r="N70" s="6" t="s">
        <v>263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0" customHeight="1">
      <c r="A71" s="1" t="s">
        <v>256</v>
      </c>
      <c r="B71" s="1" t="s">
        <v>406</v>
      </c>
      <c r="C71" s="1">
        <v>8.804216894E10</v>
      </c>
      <c r="D71" s="1" t="s">
        <v>407</v>
      </c>
      <c r="E71" s="1">
        <v>2010.0</v>
      </c>
      <c r="F71" s="1" t="s">
        <v>408</v>
      </c>
      <c r="G71" s="1" t="s">
        <v>409</v>
      </c>
      <c r="H71" s="4" t="s">
        <v>410</v>
      </c>
      <c r="I71" s="4" t="s">
        <v>262</v>
      </c>
      <c r="J71" s="1">
        <v>70.0</v>
      </c>
      <c r="K71" s="1">
        <v>70.0</v>
      </c>
      <c r="L71" s="1" t="s">
        <v>36</v>
      </c>
      <c r="M71" s="1" t="s">
        <v>36</v>
      </c>
      <c r="N71" s="6" t="s">
        <v>263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1">
      <c r="A72" s="1" t="s">
        <v>256</v>
      </c>
      <c r="B72" s="1" t="s">
        <v>411</v>
      </c>
      <c r="C72" s="1">
        <v>8.8063162744E10</v>
      </c>
      <c r="D72" s="1" t="s">
        <v>412</v>
      </c>
      <c r="E72" s="1">
        <v>1992.0</v>
      </c>
      <c r="F72" s="1" t="s">
        <v>413</v>
      </c>
      <c r="G72" s="1" t="s">
        <v>414</v>
      </c>
      <c r="H72" s="4" t="s">
        <v>415</v>
      </c>
      <c r="I72" s="4" t="s">
        <v>262</v>
      </c>
      <c r="J72" s="1">
        <v>200.0</v>
      </c>
      <c r="K72" s="1">
        <v>200.0</v>
      </c>
      <c r="L72" s="1" t="s">
        <v>36</v>
      </c>
      <c r="M72" s="1" t="s">
        <v>36</v>
      </c>
      <c r="N72" s="6" t="s">
        <v>263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0" customHeight="1">
      <c r="A73" s="1" t="s">
        <v>256</v>
      </c>
      <c r="B73" s="1" t="s">
        <v>416</v>
      </c>
      <c r="C73" s="1">
        <v>8.80255165088E11</v>
      </c>
      <c r="D73" s="1" t="s">
        <v>417</v>
      </c>
      <c r="E73" s="1">
        <v>1946.0</v>
      </c>
      <c r="F73" s="1" t="s">
        <v>418</v>
      </c>
      <c r="G73" s="1" t="s">
        <v>419</v>
      </c>
      <c r="H73" s="4" t="s">
        <v>420</v>
      </c>
      <c r="I73" s="4" t="s">
        <v>262</v>
      </c>
      <c r="J73" s="1">
        <v>250.0</v>
      </c>
      <c r="K73" s="1">
        <v>250.0</v>
      </c>
      <c r="L73" s="1" t="s">
        <v>36</v>
      </c>
      <c r="M73" s="1" t="s">
        <v>36</v>
      </c>
      <c r="N73" s="6" t="s">
        <v>263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0" customHeight="1">
      <c r="A74" s="1" t="s">
        <v>256</v>
      </c>
      <c r="B74" s="1" t="s">
        <v>421</v>
      </c>
      <c r="C74" s="1">
        <v>8.808168532E9</v>
      </c>
      <c r="D74" s="1" t="s">
        <v>422</v>
      </c>
      <c r="E74" s="1">
        <v>1992.0</v>
      </c>
      <c r="F74" s="1" t="s">
        <v>423</v>
      </c>
      <c r="G74" s="1" t="s">
        <v>424</v>
      </c>
      <c r="H74" s="4" t="s">
        <v>425</v>
      </c>
      <c r="I74" s="4" t="s">
        <v>262</v>
      </c>
      <c r="J74" s="1">
        <v>200.0</v>
      </c>
      <c r="K74" s="1">
        <v>200.0</v>
      </c>
      <c r="L74" s="1" t="s">
        <v>36</v>
      </c>
      <c r="M74" s="1" t="s">
        <v>36</v>
      </c>
      <c r="N74" s="6" t="s">
        <v>263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0" customHeight="1">
      <c r="A75" s="1" t="s">
        <v>256</v>
      </c>
      <c r="B75" s="1" t="s">
        <v>426</v>
      </c>
      <c r="C75" s="1">
        <v>8.8034164101E10</v>
      </c>
      <c r="D75" s="1" t="s">
        <v>427</v>
      </c>
      <c r="E75" s="1">
        <v>2008.0</v>
      </c>
      <c r="F75" s="1" t="s">
        <v>428</v>
      </c>
      <c r="G75" s="1" t="s">
        <v>429</v>
      </c>
      <c r="H75" s="4" t="s">
        <v>430</v>
      </c>
      <c r="I75" s="4" t="s">
        <v>262</v>
      </c>
      <c r="J75" s="1">
        <v>70.0</v>
      </c>
      <c r="K75" s="1">
        <v>70.0</v>
      </c>
      <c r="L75" s="1" t="s">
        <v>36</v>
      </c>
      <c r="M75" s="1" t="s">
        <v>36</v>
      </c>
      <c r="N75" s="6" t="s">
        <v>263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0" customHeight="1">
      <c r="A76" s="1" t="s">
        <v>256</v>
      </c>
      <c r="B76" s="1" t="s">
        <v>431</v>
      </c>
      <c r="C76" s="1">
        <v>8.8027710041E10</v>
      </c>
      <c r="D76" s="1" t="s">
        <v>432</v>
      </c>
      <c r="E76" s="1">
        <v>2014.0</v>
      </c>
      <c r="F76" s="1" t="s">
        <v>433</v>
      </c>
      <c r="G76" s="1" t="s">
        <v>434</v>
      </c>
      <c r="H76" s="4" t="s">
        <v>435</v>
      </c>
      <c r="I76" s="4" t="s">
        <v>262</v>
      </c>
      <c r="J76" s="1">
        <v>75.0</v>
      </c>
      <c r="K76" s="1">
        <v>75.0</v>
      </c>
      <c r="L76" s="1" t="s">
        <v>36</v>
      </c>
      <c r="M76" s="1" t="s">
        <v>36</v>
      </c>
      <c r="N76" s="6" t="s">
        <v>263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0" customHeight="1">
      <c r="A77" s="1" t="s">
        <v>256</v>
      </c>
      <c r="B77" s="1" t="s">
        <v>436</v>
      </c>
      <c r="C77" s="1">
        <v>8.801720964306E12</v>
      </c>
      <c r="D77" s="1" t="s">
        <v>437</v>
      </c>
      <c r="E77" s="1">
        <v>2016.0</v>
      </c>
      <c r="F77" s="1" t="s">
        <v>438</v>
      </c>
      <c r="G77" s="1" t="s">
        <v>439</v>
      </c>
      <c r="H77" s="4" t="s">
        <v>440</v>
      </c>
      <c r="I77" s="4" t="s">
        <v>334</v>
      </c>
      <c r="J77" s="1" t="s">
        <v>36</v>
      </c>
      <c r="K77" s="1" t="s">
        <v>36</v>
      </c>
      <c r="L77" s="1" t="s">
        <v>36</v>
      </c>
      <c r="M77" s="1" t="s">
        <v>36</v>
      </c>
      <c r="N77" s="6" t="s">
        <v>263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0" customHeight="1">
      <c r="A78" s="1" t="s">
        <v>256</v>
      </c>
      <c r="B78" s="1" t="s">
        <v>441</v>
      </c>
      <c r="C78" s="1">
        <v>8.80316194E10</v>
      </c>
      <c r="D78" s="1" t="s">
        <v>442</v>
      </c>
      <c r="E78" s="1">
        <v>1957.0</v>
      </c>
      <c r="F78" s="1" t="s">
        <v>443</v>
      </c>
      <c r="G78" s="1" t="s">
        <v>444</v>
      </c>
      <c r="H78" s="4" t="s">
        <v>445</v>
      </c>
      <c r="I78" s="4" t="s">
        <v>262</v>
      </c>
      <c r="J78" s="1">
        <v>250.0</v>
      </c>
      <c r="K78" s="1">
        <v>250.0</v>
      </c>
      <c r="L78" s="1" t="s">
        <v>36</v>
      </c>
      <c r="M78" s="1" t="s">
        <v>36</v>
      </c>
      <c r="N78" s="6" t="s">
        <v>263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0" customHeight="1">
      <c r="A79" s="1" t="s">
        <v>256</v>
      </c>
      <c r="B79" s="1" t="s">
        <v>446</v>
      </c>
      <c r="C79" s="1">
        <v>8.80841633E10</v>
      </c>
      <c r="D79" s="1" t="s">
        <v>447</v>
      </c>
      <c r="E79" s="1">
        <v>2018.0</v>
      </c>
      <c r="F79" s="1" t="s">
        <v>448</v>
      </c>
      <c r="G79" s="1" t="s">
        <v>449</v>
      </c>
      <c r="H79" s="4" t="s">
        <v>450</v>
      </c>
      <c r="I79" s="4" t="s">
        <v>262</v>
      </c>
      <c r="J79" s="1">
        <v>50.0</v>
      </c>
      <c r="K79" s="1">
        <v>50.0</v>
      </c>
      <c r="L79" s="1" t="s">
        <v>36</v>
      </c>
      <c r="M79" s="1" t="s">
        <v>36</v>
      </c>
      <c r="N79" s="6" t="s">
        <v>263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1">
      <c r="A80" s="1" t="s">
        <v>256</v>
      </c>
      <c r="B80" s="1" t="s">
        <v>451</v>
      </c>
      <c r="C80" s="1">
        <v>8.801712211444E12</v>
      </c>
      <c r="D80" s="1" t="s">
        <v>452</v>
      </c>
      <c r="E80" s="1">
        <v>2018.0</v>
      </c>
      <c r="F80" s="1" t="s">
        <v>453</v>
      </c>
      <c r="G80" s="1" t="s">
        <v>454</v>
      </c>
      <c r="H80" s="4" t="s">
        <v>455</v>
      </c>
      <c r="I80" s="4" t="s">
        <v>456</v>
      </c>
      <c r="J80" s="1">
        <v>50.0</v>
      </c>
      <c r="K80" s="1">
        <v>50.0</v>
      </c>
      <c r="L80" s="1" t="s">
        <v>36</v>
      </c>
      <c r="M80" s="1" t="s">
        <v>36</v>
      </c>
      <c r="N80" s="6" t="s">
        <v>263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1">
      <c r="A81" s="1" t="s">
        <v>256</v>
      </c>
      <c r="B81" s="1" t="s">
        <v>457</v>
      </c>
      <c r="C81" s="1">
        <v>8.8025516576E11</v>
      </c>
      <c r="D81" s="1" t="s">
        <v>458</v>
      </c>
      <c r="E81" s="1">
        <v>1998.0</v>
      </c>
      <c r="F81" s="1" t="s">
        <v>459</v>
      </c>
      <c r="G81" s="1" t="s">
        <v>460</v>
      </c>
      <c r="H81" s="4" t="s">
        <v>461</v>
      </c>
      <c r="I81" s="4" t="s">
        <v>462</v>
      </c>
      <c r="J81" s="1" t="s">
        <v>36</v>
      </c>
      <c r="K81" s="1" t="s">
        <v>36</v>
      </c>
      <c r="L81" s="1" t="s">
        <v>36</v>
      </c>
      <c r="M81" s="1" t="s">
        <v>36</v>
      </c>
      <c r="N81" s="6" t="s">
        <v>263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1">
      <c r="A82" s="1" t="s">
        <v>256</v>
      </c>
      <c r="B82" s="1" t="s">
        <v>463</v>
      </c>
      <c r="C82" s="1">
        <v>8.8032162621E10</v>
      </c>
      <c r="D82" s="1" t="s">
        <v>464</v>
      </c>
      <c r="E82" s="1">
        <v>2008.0</v>
      </c>
      <c r="F82" s="1" t="s">
        <v>465</v>
      </c>
      <c r="G82" s="1" t="s">
        <v>466</v>
      </c>
      <c r="H82" s="4" t="s">
        <v>467</v>
      </c>
      <c r="I82" s="4" t="s">
        <v>262</v>
      </c>
      <c r="J82" s="1">
        <v>70.0</v>
      </c>
      <c r="K82" s="1">
        <v>70.0</v>
      </c>
      <c r="L82" s="1" t="s">
        <v>36</v>
      </c>
      <c r="M82" s="1" t="s">
        <v>36</v>
      </c>
      <c r="N82" s="6" t="s">
        <v>263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0" customHeight="1">
      <c r="A83" s="1" t="s">
        <v>468</v>
      </c>
      <c r="B83" s="1" t="s">
        <v>469</v>
      </c>
      <c r="C83" s="3">
        <f>+8801716662421</f>
        <v>8801716662421</v>
      </c>
      <c r="D83" s="1" t="s">
        <v>470</v>
      </c>
      <c r="E83" s="1">
        <v>2006.0</v>
      </c>
      <c r="F83" s="1" t="s">
        <v>383</v>
      </c>
      <c r="G83" s="1" t="s">
        <v>471</v>
      </c>
      <c r="H83" s="4" t="s">
        <v>472</v>
      </c>
      <c r="I83" s="4" t="s">
        <v>473</v>
      </c>
      <c r="J83" s="1">
        <v>431.0</v>
      </c>
      <c r="K83" s="1">
        <v>431.0</v>
      </c>
      <c r="L83" s="1">
        <v>0.0</v>
      </c>
      <c r="M83" s="1">
        <v>0.0</v>
      </c>
      <c r="N83" s="6" t="s">
        <v>263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0" customHeight="1">
      <c r="A84" s="1" t="s">
        <v>468</v>
      </c>
      <c r="B84" s="1" t="s">
        <v>474</v>
      </c>
      <c r="C84" s="3">
        <f>+880244814006</f>
        <v>880244814006</v>
      </c>
      <c r="D84" s="1" t="s">
        <v>475</v>
      </c>
      <c r="E84" s="1">
        <v>2001.0</v>
      </c>
      <c r="F84" s="1" t="s">
        <v>476</v>
      </c>
      <c r="G84" s="1" t="s">
        <v>477</v>
      </c>
      <c r="H84" s="4" t="s">
        <v>478</v>
      </c>
      <c r="I84" s="4" t="s">
        <v>473</v>
      </c>
      <c r="J84" s="1">
        <v>705.0</v>
      </c>
      <c r="K84" s="1">
        <v>705.0</v>
      </c>
      <c r="L84" s="1">
        <v>0.0</v>
      </c>
      <c r="M84" s="1">
        <v>0.0</v>
      </c>
      <c r="N84" s="6" t="s">
        <v>479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0" customHeight="1">
      <c r="A85" s="1" t="s">
        <v>468</v>
      </c>
      <c r="B85" s="1" t="s">
        <v>480</v>
      </c>
      <c r="C85" s="3">
        <f>+8809611678921</f>
        <v>8809611678921</v>
      </c>
      <c r="D85" s="1" t="s">
        <v>481</v>
      </c>
      <c r="E85" s="1">
        <v>2021.0</v>
      </c>
      <c r="F85" s="1" t="s">
        <v>482</v>
      </c>
      <c r="G85" s="1" t="s">
        <v>483</v>
      </c>
      <c r="H85" s="4" t="s">
        <v>484</v>
      </c>
      <c r="I85" s="4" t="s">
        <v>473</v>
      </c>
      <c r="J85" s="1">
        <v>82.0</v>
      </c>
      <c r="K85" s="1">
        <v>82.0</v>
      </c>
      <c r="L85" s="1">
        <v>0.0</v>
      </c>
      <c r="M85" s="1">
        <v>0.0</v>
      </c>
      <c r="N85" s="6" t="s">
        <v>479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0" customHeight="1">
      <c r="A86" s="1" t="s">
        <v>468</v>
      </c>
      <c r="B86" s="1" t="s">
        <v>485</v>
      </c>
      <c r="C86" s="3">
        <f>+8801309000313</f>
        <v>8801309000313</v>
      </c>
      <c r="D86" s="1" t="s">
        <v>486</v>
      </c>
      <c r="E86" s="1">
        <v>2015.0</v>
      </c>
      <c r="F86" s="1" t="s">
        <v>487</v>
      </c>
      <c r="G86" s="1" t="s">
        <v>488</v>
      </c>
      <c r="H86" s="4" t="s">
        <v>489</v>
      </c>
      <c r="I86" s="4" t="s">
        <v>473</v>
      </c>
      <c r="J86" s="1">
        <v>150.0</v>
      </c>
      <c r="K86" s="1">
        <v>150.0</v>
      </c>
      <c r="L86" s="1">
        <v>0.0</v>
      </c>
      <c r="M86" s="1">
        <v>0.0</v>
      </c>
      <c r="N86" s="6" t="s">
        <v>479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0" customHeight="1">
      <c r="A87" s="1" t="s">
        <v>468</v>
      </c>
      <c r="B87" s="1" t="s">
        <v>490</v>
      </c>
      <c r="C87" s="3">
        <f>+8801326890712</f>
        <v>8801326890712</v>
      </c>
      <c r="D87" s="1" t="s">
        <v>491</v>
      </c>
      <c r="E87" s="1">
        <v>2021.0</v>
      </c>
      <c r="F87" s="1" t="s">
        <v>492</v>
      </c>
      <c r="G87" s="1" t="s">
        <v>493</v>
      </c>
      <c r="H87" s="4" t="s">
        <v>494</v>
      </c>
      <c r="I87" s="4" t="s">
        <v>473</v>
      </c>
      <c r="J87" s="1">
        <v>90.0</v>
      </c>
      <c r="K87" s="1">
        <v>90.0</v>
      </c>
      <c r="L87" s="1">
        <v>0.0</v>
      </c>
      <c r="M87" s="1">
        <v>0.0</v>
      </c>
      <c r="N87" s="6" t="s">
        <v>479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0" customHeight="1">
      <c r="A88" s="1" t="s">
        <v>468</v>
      </c>
      <c r="B88" s="1" t="s">
        <v>495</v>
      </c>
      <c r="C88" s="3">
        <f>+8802334466153</f>
        <v>8802334466153</v>
      </c>
      <c r="D88" s="1" t="s">
        <v>496</v>
      </c>
      <c r="E88" s="1">
        <v>2006.0</v>
      </c>
      <c r="F88" s="1" t="s">
        <v>497</v>
      </c>
      <c r="G88" s="1" t="s">
        <v>498</v>
      </c>
      <c r="H88" s="4" t="s">
        <v>499</v>
      </c>
      <c r="I88" s="4" t="s">
        <v>473</v>
      </c>
      <c r="J88" s="1">
        <v>275.0</v>
      </c>
      <c r="K88" s="1">
        <v>275.0</v>
      </c>
      <c r="L88" s="1">
        <v>0.0</v>
      </c>
      <c r="M88" s="1">
        <v>0.0</v>
      </c>
      <c r="N88" s="6" t="s">
        <v>479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0" customHeight="1">
      <c r="A89" s="1" t="s">
        <v>468</v>
      </c>
      <c r="B89" s="1" t="s">
        <v>500</v>
      </c>
      <c r="C89" s="3">
        <f>+8801711854471</f>
        <v>8801711854471</v>
      </c>
      <c r="D89" s="1" t="s">
        <v>501</v>
      </c>
      <c r="E89" s="1">
        <v>1961.0</v>
      </c>
      <c r="F89" s="1" t="s">
        <v>502</v>
      </c>
      <c r="G89" s="1" t="s">
        <v>503</v>
      </c>
      <c r="H89" s="4" t="s">
        <v>504</v>
      </c>
      <c r="I89" s="4" t="s">
        <v>473</v>
      </c>
      <c r="J89" s="1">
        <v>1006.0</v>
      </c>
      <c r="K89" s="1">
        <v>1006.0</v>
      </c>
      <c r="L89" s="1">
        <v>0.0</v>
      </c>
      <c r="M89" s="1">
        <v>0.0</v>
      </c>
      <c r="N89" s="6" t="s">
        <v>479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1">
      <c r="A90" s="1" t="s">
        <v>468</v>
      </c>
      <c r="B90" s="1" t="s">
        <v>505</v>
      </c>
      <c r="C90" s="3">
        <f>+88029205310</f>
        <v>88029205310</v>
      </c>
      <c r="D90" s="1" t="s">
        <v>506</v>
      </c>
      <c r="E90" s="1">
        <v>1998.0</v>
      </c>
      <c r="F90" s="1" t="s">
        <v>507</v>
      </c>
      <c r="G90" s="1" t="s">
        <v>508</v>
      </c>
      <c r="H90" s="4" t="s">
        <v>509</v>
      </c>
      <c r="I90" s="4" t="s">
        <v>473</v>
      </c>
      <c r="J90" s="1">
        <v>510.0</v>
      </c>
      <c r="K90" s="1">
        <v>510.0</v>
      </c>
      <c r="L90" s="1">
        <v>0.0</v>
      </c>
      <c r="M90" s="1">
        <v>0.0</v>
      </c>
      <c r="N90" s="6" t="s">
        <v>479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0" customHeight="1">
      <c r="A91" s="1" t="s">
        <v>510</v>
      </c>
      <c r="B91" s="1" t="s">
        <v>511</v>
      </c>
      <c r="C91" s="3">
        <f>+8801769024054</f>
        <v>8801769024054</v>
      </c>
      <c r="D91" s="1" t="s">
        <v>512</v>
      </c>
      <c r="E91" s="1">
        <v>1998.0</v>
      </c>
      <c r="F91" s="1" t="s">
        <v>513</v>
      </c>
      <c r="G91" s="1" t="s">
        <v>514</v>
      </c>
      <c r="H91" s="4" t="s">
        <v>515</v>
      </c>
      <c r="I91" s="4" t="s">
        <v>516</v>
      </c>
      <c r="J91" s="1">
        <v>570.0</v>
      </c>
      <c r="K91" s="1">
        <v>570.0</v>
      </c>
      <c r="L91" s="1">
        <v>0.0</v>
      </c>
      <c r="M91" s="1">
        <v>0.0</v>
      </c>
      <c r="N91" s="6" t="s">
        <v>479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0" customHeight="1">
      <c r="A92" s="1" t="s">
        <v>510</v>
      </c>
      <c r="B92" s="1" t="s">
        <v>517</v>
      </c>
      <c r="C92" s="3">
        <f>+8809666790790</f>
        <v>8809666790790</v>
      </c>
      <c r="D92" s="1" t="s">
        <v>518</v>
      </c>
      <c r="E92" s="1">
        <v>2008.0</v>
      </c>
      <c r="F92" s="1" t="s">
        <v>513</v>
      </c>
      <c r="G92" s="1" t="s">
        <v>519</v>
      </c>
      <c r="H92" s="4" t="s">
        <v>520</v>
      </c>
      <c r="I92" s="4" t="s">
        <v>521</v>
      </c>
      <c r="J92" s="5">
        <v>1485.0</v>
      </c>
      <c r="K92" s="1">
        <v>325.0</v>
      </c>
      <c r="L92" s="1">
        <v>660.0</v>
      </c>
      <c r="M92" s="1">
        <v>500.0</v>
      </c>
      <c r="N92" s="6" t="s">
        <v>522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0" customHeight="1">
      <c r="A93" s="1" t="s">
        <v>510</v>
      </c>
      <c r="B93" s="13" t="s">
        <v>523</v>
      </c>
      <c r="C93" s="13">
        <v>8.801769701111E12</v>
      </c>
      <c r="D93" s="13" t="s">
        <v>524</v>
      </c>
      <c r="E93" s="13">
        <v>1976.0</v>
      </c>
      <c r="F93" s="13" t="s">
        <v>525</v>
      </c>
      <c r="G93" s="13" t="s">
        <v>526</v>
      </c>
      <c r="H93" s="16" t="s">
        <v>527</v>
      </c>
      <c r="I93" s="16" t="s">
        <v>528</v>
      </c>
      <c r="J93" s="13">
        <v>120.0</v>
      </c>
      <c r="K93" s="13">
        <v>120.0</v>
      </c>
      <c r="L93" s="13" t="s">
        <v>36</v>
      </c>
      <c r="M93" s="13" t="s">
        <v>36</v>
      </c>
      <c r="N93" s="6" t="s">
        <v>522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7.0" customHeight="1">
      <c r="A94" s="1" t="s">
        <v>510</v>
      </c>
      <c r="B94" s="13" t="s">
        <v>529</v>
      </c>
      <c r="C94" s="13">
        <v>8.801769994318E12</v>
      </c>
      <c r="D94" s="13" t="s">
        <v>530</v>
      </c>
      <c r="E94" s="13">
        <v>1974.0</v>
      </c>
      <c r="F94" s="13" t="s">
        <v>531</v>
      </c>
      <c r="G94" s="13" t="s">
        <v>532</v>
      </c>
      <c r="H94" s="16" t="s">
        <v>533</v>
      </c>
      <c r="I94" s="16" t="s">
        <v>534</v>
      </c>
      <c r="J94" s="13">
        <v>150.0</v>
      </c>
      <c r="K94" s="13">
        <v>150.0</v>
      </c>
      <c r="L94" s="13" t="s">
        <v>36</v>
      </c>
      <c r="M94" s="13" t="s">
        <v>36</v>
      </c>
      <c r="N94" s="6" t="s">
        <v>522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7.0" customHeight="1">
      <c r="A95" s="1" t="s">
        <v>510</v>
      </c>
      <c r="B95" s="13" t="s">
        <v>535</v>
      </c>
      <c r="C95" s="13">
        <v>8.801769176191E12</v>
      </c>
      <c r="D95" s="13" t="s">
        <v>536</v>
      </c>
      <c r="E95" s="13">
        <v>2015.0</v>
      </c>
      <c r="F95" s="13" t="s">
        <v>537</v>
      </c>
      <c r="G95" s="13" t="s">
        <v>538</v>
      </c>
      <c r="H95" s="16" t="s">
        <v>539</v>
      </c>
      <c r="I95" s="16" t="s">
        <v>540</v>
      </c>
      <c r="J95" s="13">
        <v>120.0</v>
      </c>
      <c r="K95" s="13" t="s">
        <v>36</v>
      </c>
      <c r="L95" s="13" t="s">
        <v>36</v>
      </c>
      <c r="M95" s="13">
        <v>120.0</v>
      </c>
      <c r="N95" s="6" t="s">
        <v>522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7.0" customHeight="1">
      <c r="A96" s="1" t="s">
        <v>510</v>
      </c>
      <c r="B96" s="13" t="s">
        <v>541</v>
      </c>
      <c r="C96" s="13">
        <v>8.801769091572E12</v>
      </c>
      <c r="D96" s="13" t="s">
        <v>542</v>
      </c>
      <c r="E96" s="13">
        <v>2015.0</v>
      </c>
      <c r="F96" s="13" t="s">
        <v>543</v>
      </c>
      <c r="G96" s="13" t="s">
        <v>544</v>
      </c>
      <c r="H96" s="16" t="s">
        <v>545</v>
      </c>
      <c r="I96" s="16" t="s">
        <v>546</v>
      </c>
      <c r="J96" s="13">
        <v>120.0</v>
      </c>
      <c r="K96" s="13" t="s">
        <v>36</v>
      </c>
      <c r="L96" s="13" t="s">
        <v>36</v>
      </c>
      <c r="M96" s="13">
        <v>120.0</v>
      </c>
      <c r="N96" s="6" t="s">
        <v>522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7.0" customHeight="1">
      <c r="A97" s="1" t="s">
        <v>510</v>
      </c>
      <c r="B97" s="1" t="s">
        <v>547</v>
      </c>
      <c r="C97" s="3">
        <f>+8801769724220</f>
        <v>8801769724220</v>
      </c>
      <c r="D97" s="1" t="s">
        <v>548</v>
      </c>
      <c r="E97" s="1">
        <v>2025.0</v>
      </c>
      <c r="F97" s="1" t="s">
        <v>549</v>
      </c>
      <c r="G97" s="1" t="s">
        <v>550</v>
      </c>
      <c r="H97" s="4" t="s">
        <v>551</v>
      </c>
      <c r="I97" s="4" t="s">
        <v>552</v>
      </c>
      <c r="J97" s="1">
        <v>50.0</v>
      </c>
      <c r="K97" s="1">
        <v>50.0</v>
      </c>
      <c r="L97" s="1">
        <v>0.0</v>
      </c>
      <c r="M97" s="1">
        <v>0.0</v>
      </c>
      <c r="N97" s="6" t="s">
        <v>522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0" customHeight="1">
      <c r="A98" s="1" t="s">
        <v>510</v>
      </c>
      <c r="B98" s="1" t="s">
        <v>553</v>
      </c>
      <c r="C98" s="3">
        <f>+8801769665659</f>
        <v>8801769665659</v>
      </c>
      <c r="D98" s="1" t="s">
        <v>554</v>
      </c>
      <c r="E98" s="1">
        <v>2015.0</v>
      </c>
      <c r="F98" s="1" t="s">
        <v>555</v>
      </c>
      <c r="G98" s="1" t="s">
        <v>556</v>
      </c>
      <c r="H98" s="4" t="s">
        <v>557</v>
      </c>
      <c r="I98" s="4" t="s">
        <v>558</v>
      </c>
      <c r="J98" s="1">
        <v>50.0</v>
      </c>
      <c r="K98" s="1">
        <v>50.0</v>
      </c>
      <c r="L98" s="1">
        <v>0.0</v>
      </c>
      <c r="M98" s="1">
        <v>0.0</v>
      </c>
      <c r="N98" s="6" t="s">
        <v>559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0" customHeight="1">
      <c r="A99" s="1" t="s">
        <v>510</v>
      </c>
      <c r="B99" s="1" t="s">
        <v>560</v>
      </c>
      <c r="C99" s="3">
        <f>+8801769558310</f>
        <v>8801769558310</v>
      </c>
      <c r="D99" s="1" t="s">
        <v>561</v>
      </c>
      <c r="E99" s="1">
        <v>2015.0</v>
      </c>
      <c r="F99" s="1" t="s">
        <v>562</v>
      </c>
      <c r="G99" s="1" t="s">
        <v>563</v>
      </c>
      <c r="H99" s="4" t="s">
        <v>564</v>
      </c>
      <c r="I99" s="4" t="s">
        <v>565</v>
      </c>
      <c r="J99" s="1">
        <v>50.0</v>
      </c>
      <c r="K99" s="1">
        <v>50.0</v>
      </c>
      <c r="L99" s="1">
        <v>0.0</v>
      </c>
      <c r="M99" s="1">
        <v>0.0</v>
      </c>
      <c r="N99" s="6" t="s">
        <v>559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0" customHeight="1">
      <c r="A100" s="1" t="s">
        <v>510</v>
      </c>
      <c r="B100" s="1" t="s">
        <v>566</v>
      </c>
      <c r="C100" s="3">
        <f>+8801769330502</f>
        <v>8801769330502</v>
      </c>
      <c r="D100" s="1" t="s">
        <v>567</v>
      </c>
      <c r="E100" s="1">
        <v>2015.0</v>
      </c>
      <c r="F100" s="1" t="s">
        <v>568</v>
      </c>
      <c r="G100" s="1" t="s">
        <v>569</v>
      </c>
      <c r="H100" s="4" t="s">
        <v>570</v>
      </c>
      <c r="I100" s="4" t="s">
        <v>571</v>
      </c>
      <c r="J100" s="1">
        <v>50.0</v>
      </c>
      <c r="K100" s="1">
        <v>50.0</v>
      </c>
      <c r="L100" s="1">
        <v>0.0</v>
      </c>
      <c r="M100" s="1">
        <v>0.0</v>
      </c>
      <c r="N100" s="6" t="s">
        <v>559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7.0" customHeight="1">
      <c r="A101" s="1" t="s">
        <v>510</v>
      </c>
      <c r="B101" s="1" t="s">
        <v>572</v>
      </c>
      <c r="C101" s="3">
        <f>+8801769240225</f>
        <v>8801769240225</v>
      </c>
      <c r="D101" s="1" t="s">
        <v>573</v>
      </c>
      <c r="E101" s="1">
        <v>2015.0</v>
      </c>
      <c r="F101" s="1" t="s">
        <v>574</v>
      </c>
      <c r="G101" s="1" t="s">
        <v>575</v>
      </c>
      <c r="H101" s="4" t="s">
        <v>576</v>
      </c>
      <c r="I101" s="4" t="s">
        <v>577</v>
      </c>
      <c r="J101" s="1">
        <v>50.0</v>
      </c>
      <c r="K101" s="1">
        <v>50.0</v>
      </c>
      <c r="L101" s="1">
        <v>0.0</v>
      </c>
      <c r="M101" s="1">
        <v>0.0</v>
      </c>
      <c r="N101" s="6" t="s">
        <v>559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7.0" customHeight="1">
      <c r="A102" s="1" t="s">
        <v>510</v>
      </c>
      <c r="B102" s="1" t="s">
        <v>578</v>
      </c>
      <c r="C102" s="3">
        <f>+8801769505051</f>
        <v>8801769505051</v>
      </c>
      <c r="D102" s="1" t="s">
        <v>579</v>
      </c>
      <c r="E102" s="1">
        <v>2015.0</v>
      </c>
      <c r="F102" s="1" t="s">
        <v>580</v>
      </c>
      <c r="G102" s="1" t="s">
        <v>581</v>
      </c>
      <c r="H102" s="4" t="s">
        <v>582</v>
      </c>
      <c r="I102" s="4" t="s">
        <v>583</v>
      </c>
      <c r="J102" s="1">
        <v>50.0</v>
      </c>
      <c r="K102" s="1">
        <v>50.0</v>
      </c>
      <c r="L102" s="1">
        <v>0.0</v>
      </c>
      <c r="M102" s="1">
        <v>0.0</v>
      </c>
      <c r="N102" s="6" t="s">
        <v>559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7.0" customHeight="1">
      <c r="A103" s="1" t="s">
        <v>510</v>
      </c>
      <c r="B103" s="1" t="s">
        <v>584</v>
      </c>
      <c r="C103" s="3">
        <f>+8801769013000</f>
        <v>8801769013000</v>
      </c>
      <c r="D103" s="1" t="s">
        <v>585</v>
      </c>
      <c r="E103" s="1">
        <v>1999.0</v>
      </c>
      <c r="F103" s="1" t="s">
        <v>586</v>
      </c>
      <c r="G103" s="1" t="s">
        <v>587</v>
      </c>
      <c r="H103" s="4" t="s">
        <v>588</v>
      </c>
      <c r="I103" s="4" t="s">
        <v>583</v>
      </c>
      <c r="J103" s="1">
        <v>125.0</v>
      </c>
      <c r="K103" s="1">
        <v>125.0</v>
      </c>
      <c r="L103" s="1">
        <v>0.0</v>
      </c>
      <c r="M103" s="1">
        <v>0.0</v>
      </c>
      <c r="N103" s="6" t="s">
        <v>559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0" customHeight="1">
      <c r="A104" s="1" t="s">
        <v>589</v>
      </c>
      <c r="B104" s="1" t="s">
        <v>590</v>
      </c>
      <c r="C104" s="3">
        <f t="shared" ref="C104:C110" si="1">+8801335114909</f>
        <v>8801335114909</v>
      </c>
      <c r="D104" s="1" t="s">
        <v>591</v>
      </c>
      <c r="E104" s="1">
        <v>1841.0</v>
      </c>
      <c r="F104" s="1" t="s">
        <v>592</v>
      </c>
      <c r="G104" s="1" t="s">
        <v>593</v>
      </c>
      <c r="H104" s="4" t="s">
        <v>594</v>
      </c>
      <c r="I104" s="4" t="s">
        <v>595</v>
      </c>
      <c r="J104" s="1">
        <v>3515.0</v>
      </c>
      <c r="K104" s="1">
        <v>870.0</v>
      </c>
      <c r="L104" s="1">
        <v>1815.0</v>
      </c>
      <c r="M104" s="1">
        <v>830.0</v>
      </c>
      <c r="N104" s="6" t="s">
        <v>559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7.0" customHeight="1">
      <c r="A105" s="1" t="s">
        <v>589</v>
      </c>
      <c r="B105" s="1" t="s">
        <v>596</v>
      </c>
      <c r="C105" s="3">
        <f t="shared" si="1"/>
        <v>8801335114909</v>
      </c>
      <c r="D105" s="1" t="s">
        <v>597</v>
      </c>
      <c r="E105" s="1">
        <v>1873.0</v>
      </c>
      <c r="F105" s="1" t="s">
        <v>598</v>
      </c>
      <c r="G105" s="1" t="s">
        <v>599</v>
      </c>
      <c r="H105" s="4" t="s">
        <v>600</v>
      </c>
      <c r="I105" s="4" t="s">
        <v>595</v>
      </c>
      <c r="J105" s="1">
        <v>4685.0</v>
      </c>
      <c r="K105" s="1">
        <v>1140.0</v>
      </c>
      <c r="L105" s="1">
        <v>2510.0</v>
      </c>
      <c r="M105" s="1">
        <v>1035.0</v>
      </c>
      <c r="N105" s="6" t="s">
        <v>601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7.0" customHeight="1">
      <c r="A106" s="1" t="s">
        <v>589</v>
      </c>
      <c r="B106" s="1" t="s">
        <v>602</v>
      </c>
      <c r="C106" s="3">
        <f t="shared" si="1"/>
        <v>8801335114909</v>
      </c>
      <c r="D106" s="1" t="s">
        <v>603</v>
      </c>
      <c r="E106" s="1">
        <v>1874.0</v>
      </c>
      <c r="F106" s="1" t="s">
        <v>604</v>
      </c>
      <c r="G106" s="1" t="s">
        <v>605</v>
      </c>
      <c r="H106" s="4" t="s">
        <v>606</v>
      </c>
      <c r="I106" s="4" t="s">
        <v>595</v>
      </c>
      <c r="J106" s="1">
        <v>1520.0</v>
      </c>
      <c r="K106" s="1">
        <v>560.0</v>
      </c>
      <c r="L106" s="1">
        <v>660.0</v>
      </c>
      <c r="M106" s="1">
        <v>300.0</v>
      </c>
      <c r="N106" s="6" t="s">
        <v>601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7.0" customHeight="1">
      <c r="A107" s="1" t="s">
        <v>589</v>
      </c>
      <c r="B107" s="1" t="s">
        <v>607</v>
      </c>
      <c r="C107" s="3">
        <f t="shared" si="1"/>
        <v>8801335114909</v>
      </c>
      <c r="D107" s="1" t="s">
        <v>608</v>
      </c>
      <c r="E107" s="1">
        <v>1968.0</v>
      </c>
      <c r="F107" s="1" t="s">
        <v>609</v>
      </c>
      <c r="G107" s="1" t="s">
        <v>610</v>
      </c>
      <c r="H107" s="4" t="s">
        <v>611</v>
      </c>
      <c r="I107" s="4" t="s">
        <v>595</v>
      </c>
      <c r="J107" s="1">
        <v>5680.0</v>
      </c>
      <c r="K107" s="1">
        <v>1510.0</v>
      </c>
      <c r="L107" s="1">
        <v>3130.0</v>
      </c>
      <c r="M107" s="1">
        <v>1040.0</v>
      </c>
      <c r="N107" s="6" t="s">
        <v>601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7.0" customHeight="1">
      <c r="A108" s="1" t="s">
        <v>589</v>
      </c>
      <c r="B108" s="1" t="s">
        <v>612</v>
      </c>
      <c r="C108" s="3">
        <f t="shared" si="1"/>
        <v>8801335114909</v>
      </c>
      <c r="D108" s="1" t="s">
        <v>613</v>
      </c>
      <c r="E108" s="1">
        <v>1949.0</v>
      </c>
      <c r="F108" s="1" t="s">
        <v>604</v>
      </c>
      <c r="G108" s="1" t="s">
        <v>614</v>
      </c>
      <c r="H108" s="4" t="s">
        <v>615</v>
      </c>
      <c r="I108" s="4" t="s">
        <v>595</v>
      </c>
      <c r="J108" s="1">
        <v>1540.0</v>
      </c>
      <c r="K108" s="1">
        <v>650.0</v>
      </c>
      <c r="L108" s="1">
        <v>590.0</v>
      </c>
      <c r="M108" s="1">
        <v>300.0</v>
      </c>
      <c r="N108" s="6" t="s">
        <v>601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7.0" customHeight="1">
      <c r="A109" s="1" t="s">
        <v>589</v>
      </c>
      <c r="B109" s="1" t="s">
        <v>616</v>
      </c>
      <c r="C109" s="3">
        <f t="shared" si="1"/>
        <v>8801335114909</v>
      </c>
      <c r="D109" s="1" t="s">
        <v>617</v>
      </c>
      <c r="E109" s="1">
        <v>1962.0</v>
      </c>
      <c r="F109" s="1" t="s">
        <v>618</v>
      </c>
      <c r="G109" s="1" t="s">
        <v>619</v>
      </c>
      <c r="H109" s="4" t="s">
        <v>620</v>
      </c>
      <c r="I109" s="4" t="s">
        <v>595</v>
      </c>
      <c r="J109" s="1">
        <v>2580.0</v>
      </c>
      <c r="K109" s="1">
        <v>760.0</v>
      </c>
      <c r="L109" s="1">
        <v>1260.0</v>
      </c>
      <c r="M109" s="1">
        <v>560.0</v>
      </c>
      <c r="N109" s="6" t="s">
        <v>601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7.0" customHeight="1">
      <c r="A110" s="1" t="s">
        <v>589</v>
      </c>
      <c r="B110" s="1" t="s">
        <v>621</v>
      </c>
      <c r="C110" s="3">
        <f t="shared" si="1"/>
        <v>8801335114909</v>
      </c>
      <c r="D110" s="1" t="s">
        <v>622</v>
      </c>
      <c r="E110" s="1">
        <v>1948.0</v>
      </c>
      <c r="F110" s="1" t="s">
        <v>623</v>
      </c>
      <c r="G110" s="1" t="s">
        <v>624</v>
      </c>
      <c r="H110" s="4" t="s">
        <v>625</v>
      </c>
      <c r="I110" s="4" t="s">
        <v>595</v>
      </c>
      <c r="J110" s="1">
        <v>1410.0</v>
      </c>
      <c r="K110" s="1">
        <v>485.0</v>
      </c>
      <c r="L110" s="1">
        <v>680.0</v>
      </c>
      <c r="M110" s="1">
        <v>245.0</v>
      </c>
      <c r="N110" s="6" t="s">
        <v>601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7.0" customHeight="1">
      <c r="A111" s="10" t="s">
        <v>626</v>
      </c>
      <c r="B111" s="13" t="s">
        <v>627</v>
      </c>
      <c r="C111" s="13">
        <v>8.8025805101E11</v>
      </c>
      <c r="D111" s="13" t="s">
        <v>628</v>
      </c>
      <c r="E111" s="13">
        <v>2013.0</v>
      </c>
      <c r="F111" s="13" t="s">
        <v>629</v>
      </c>
      <c r="G111" s="13" t="s">
        <v>630</v>
      </c>
      <c r="H111" s="16" t="s">
        <v>631</v>
      </c>
      <c r="I111" s="16" t="s">
        <v>632</v>
      </c>
      <c r="J111" s="13">
        <v>200.0</v>
      </c>
      <c r="K111" s="13">
        <v>150.0</v>
      </c>
      <c r="L111" s="13">
        <v>25.0</v>
      </c>
      <c r="M111" s="13">
        <v>25.0</v>
      </c>
      <c r="N111" s="6" t="s">
        <v>601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27.0" customHeight="1">
      <c r="A112" s="10" t="s">
        <v>626</v>
      </c>
      <c r="B112" s="13" t="s">
        <v>633</v>
      </c>
      <c r="C112" s="13">
        <v>8.801711998877E12</v>
      </c>
      <c r="D112" s="13" t="s">
        <v>634</v>
      </c>
      <c r="E112" s="13">
        <v>2015.0</v>
      </c>
      <c r="F112" s="13" t="s">
        <v>635</v>
      </c>
      <c r="G112" s="13" t="s">
        <v>636</v>
      </c>
      <c r="H112" s="16" t="s">
        <v>637</v>
      </c>
      <c r="I112" s="16" t="s">
        <v>637</v>
      </c>
      <c r="J112" s="13">
        <v>50.0</v>
      </c>
      <c r="K112" s="13">
        <v>50.0</v>
      </c>
      <c r="L112" s="13" t="s">
        <v>36</v>
      </c>
      <c r="M112" s="13" t="s">
        <v>36</v>
      </c>
      <c r="N112" s="6" t="s">
        <v>638</v>
      </c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27.0" customHeight="1">
      <c r="A113" s="10" t="s">
        <v>626</v>
      </c>
      <c r="B113" s="13" t="s">
        <v>639</v>
      </c>
      <c r="C113" s="13">
        <v>8.801769995099E12</v>
      </c>
      <c r="D113" s="13" t="s">
        <v>640</v>
      </c>
      <c r="E113" s="13">
        <v>2019.0</v>
      </c>
      <c r="F113" s="13" t="s">
        <v>641</v>
      </c>
      <c r="G113" s="13" t="s">
        <v>642</v>
      </c>
      <c r="H113" s="16" t="s">
        <v>643</v>
      </c>
      <c r="I113" s="16" t="s">
        <v>644</v>
      </c>
      <c r="J113" s="13">
        <v>200.0</v>
      </c>
      <c r="K113" s="13">
        <v>200.0</v>
      </c>
      <c r="L113" s="13" t="s">
        <v>36</v>
      </c>
      <c r="M113" s="13" t="s">
        <v>36</v>
      </c>
      <c r="N113" s="6" t="s">
        <v>638</v>
      </c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27.0" customHeight="1">
      <c r="A114" s="10" t="s">
        <v>626</v>
      </c>
      <c r="B114" s="13" t="s">
        <v>639</v>
      </c>
      <c r="C114" s="13">
        <v>8.801769994318E12</v>
      </c>
      <c r="D114" s="13" t="s">
        <v>640</v>
      </c>
      <c r="E114" s="13">
        <v>2019.0</v>
      </c>
      <c r="F114" s="13" t="s">
        <v>645</v>
      </c>
      <c r="G114" s="13" t="s">
        <v>646</v>
      </c>
      <c r="H114" s="16" t="s">
        <v>647</v>
      </c>
      <c r="I114" s="16" t="s">
        <v>648</v>
      </c>
      <c r="J114" s="13">
        <v>100.0</v>
      </c>
      <c r="K114" s="13">
        <v>100.0</v>
      </c>
      <c r="L114" s="13" t="s">
        <v>36</v>
      </c>
      <c r="M114" s="13" t="s">
        <v>36</v>
      </c>
      <c r="N114" s="6" t="s">
        <v>638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7.0" customHeight="1">
      <c r="A115" s="10" t="s">
        <v>626</v>
      </c>
      <c r="B115" s="13" t="s">
        <v>649</v>
      </c>
      <c r="C115" s="13">
        <v>8.801705408004E12</v>
      </c>
      <c r="D115" s="13" t="s">
        <v>650</v>
      </c>
      <c r="E115" s="13">
        <v>2013.0</v>
      </c>
      <c r="F115" s="13" t="s">
        <v>651</v>
      </c>
      <c r="G115" s="13" t="s">
        <v>652</v>
      </c>
      <c r="H115" s="16" t="s">
        <v>653</v>
      </c>
      <c r="I115" s="16" t="s">
        <v>653</v>
      </c>
      <c r="J115" s="13" t="s">
        <v>36</v>
      </c>
      <c r="K115" s="13" t="s">
        <v>36</v>
      </c>
      <c r="L115" s="13" t="s">
        <v>36</v>
      </c>
      <c r="M115" s="13" t="s">
        <v>36</v>
      </c>
      <c r="N115" s="6" t="s">
        <v>638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27.0" customHeight="1">
      <c r="A116" s="10" t="s">
        <v>626</v>
      </c>
      <c r="B116" s="13" t="s">
        <v>654</v>
      </c>
      <c r="C116" s="13">
        <v>8.801711225588E12</v>
      </c>
      <c r="D116" s="13" t="s">
        <v>655</v>
      </c>
      <c r="E116" s="13">
        <v>1972.0</v>
      </c>
      <c r="F116" s="13" t="s">
        <v>656</v>
      </c>
      <c r="G116" s="13" t="s">
        <v>657</v>
      </c>
      <c r="H116" s="16" t="s">
        <v>658</v>
      </c>
      <c r="I116" s="16" t="s">
        <v>658</v>
      </c>
      <c r="J116" s="13">
        <v>100.0</v>
      </c>
      <c r="K116" s="13">
        <v>100.0</v>
      </c>
      <c r="L116" s="13" t="s">
        <v>36</v>
      </c>
      <c r="M116" s="13" t="s">
        <v>36</v>
      </c>
      <c r="N116" s="6" t="s">
        <v>638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27.0" customHeight="1">
      <c r="A117" s="10" t="s">
        <v>626</v>
      </c>
      <c r="B117" s="13" t="s">
        <v>659</v>
      </c>
      <c r="C117" s="13">
        <v>8.801711224466E12</v>
      </c>
      <c r="D117" s="13" t="s">
        <v>660</v>
      </c>
      <c r="E117" s="13">
        <v>2018.0</v>
      </c>
      <c r="F117" s="13" t="s">
        <v>661</v>
      </c>
      <c r="G117" s="13" t="s">
        <v>662</v>
      </c>
      <c r="H117" s="16" t="s">
        <v>663</v>
      </c>
      <c r="I117" s="16" t="s">
        <v>663</v>
      </c>
      <c r="J117" s="13">
        <v>100.0</v>
      </c>
      <c r="K117" s="13">
        <v>100.0</v>
      </c>
      <c r="L117" s="13" t="s">
        <v>36</v>
      </c>
      <c r="M117" s="13" t="s">
        <v>36</v>
      </c>
      <c r="N117" s="6" t="s">
        <v>638</v>
      </c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7.0" customHeight="1">
      <c r="A118" s="18" t="s">
        <v>664</v>
      </c>
      <c r="B118" s="13" t="s">
        <v>665</v>
      </c>
      <c r="C118" s="13">
        <v>8.801712111113E12</v>
      </c>
      <c r="D118" s="19" t="s">
        <v>666</v>
      </c>
      <c r="E118" s="13">
        <v>2021.0</v>
      </c>
      <c r="F118" s="13" t="s">
        <v>667</v>
      </c>
      <c r="G118" s="16" t="s">
        <v>668</v>
      </c>
      <c r="H118" s="16" t="s">
        <v>669</v>
      </c>
      <c r="I118" s="16" t="s">
        <v>670</v>
      </c>
      <c r="J118" s="13">
        <v>120.0</v>
      </c>
      <c r="K118" s="13">
        <v>120.0</v>
      </c>
      <c r="L118" s="13" t="s">
        <v>36</v>
      </c>
      <c r="M118" s="13" t="s">
        <v>36</v>
      </c>
      <c r="N118" s="6" t="s">
        <v>638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7.0" customHeight="1">
      <c r="A119" s="18" t="s">
        <v>664</v>
      </c>
      <c r="B119" s="13" t="s">
        <v>671</v>
      </c>
      <c r="C119" s="13">
        <v>8.8044216894E11</v>
      </c>
      <c r="D119" s="19" t="s">
        <v>672</v>
      </c>
      <c r="E119" s="13">
        <v>2016.0</v>
      </c>
      <c r="F119" s="13" t="s">
        <v>673</v>
      </c>
      <c r="G119" s="16" t="s">
        <v>674</v>
      </c>
      <c r="H119" s="16" t="s">
        <v>675</v>
      </c>
      <c r="I119" s="16" t="s">
        <v>670</v>
      </c>
      <c r="J119" s="13">
        <v>120.0</v>
      </c>
      <c r="K119" s="13">
        <v>120.0</v>
      </c>
      <c r="L119" s="13" t="s">
        <v>36</v>
      </c>
      <c r="M119" s="13" t="s">
        <v>36</v>
      </c>
      <c r="N119" s="20" t="s">
        <v>676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7.0" customHeight="1">
      <c r="A120" s="18" t="s">
        <v>664</v>
      </c>
      <c r="B120" s="13" t="s">
        <v>677</v>
      </c>
      <c r="C120" s="13">
        <v>8.8043163659E10</v>
      </c>
      <c r="D120" s="19" t="s">
        <v>678</v>
      </c>
      <c r="E120" s="13">
        <v>2010.0</v>
      </c>
      <c r="F120" s="13" t="s">
        <v>679</v>
      </c>
      <c r="G120" s="13" t="s">
        <v>680</v>
      </c>
      <c r="H120" s="21" t="s">
        <v>681</v>
      </c>
      <c r="I120" s="16" t="s">
        <v>670</v>
      </c>
      <c r="J120" s="13">
        <v>120.0</v>
      </c>
      <c r="K120" s="13">
        <v>120.0</v>
      </c>
      <c r="L120" s="13" t="s">
        <v>36</v>
      </c>
      <c r="M120" s="13" t="s">
        <v>36</v>
      </c>
      <c r="N120" s="20" t="s">
        <v>676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7.0" customHeight="1">
      <c r="A121" s="18" t="s">
        <v>664</v>
      </c>
      <c r="B121" s="13" t="s">
        <v>682</v>
      </c>
      <c r="C121" s="13">
        <v>8.801711211111E12</v>
      </c>
      <c r="D121" s="13" t="s">
        <v>683</v>
      </c>
      <c r="E121" s="13">
        <v>2018.0</v>
      </c>
      <c r="F121" s="13" t="s">
        <v>684</v>
      </c>
      <c r="G121" s="13" t="s">
        <v>685</v>
      </c>
      <c r="H121" s="16" t="s">
        <v>686</v>
      </c>
      <c r="I121" s="16" t="s">
        <v>687</v>
      </c>
      <c r="J121" s="13">
        <v>120.0</v>
      </c>
      <c r="K121" s="13">
        <v>120.0</v>
      </c>
      <c r="L121" s="13" t="s">
        <v>36</v>
      </c>
      <c r="M121" s="13" t="s">
        <v>36</v>
      </c>
      <c r="N121" s="20" t="s">
        <v>676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7.0" customHeight="1">
      <c r="A122" s="18" t="s">
        <v>664</v>
      </c>
      <c r="B122" s="13" t="s">
        <v>688</v>
      </c>
      <c r="C122" s="13">
        <v>8.801717654321E12</v>
      </c>
      <c r="D122" s="19" t="s">
        <v>689</v>
      </c>
      <c r="E122" s="13">
        <v>2014.0</v>
      </c>
      <c r="F122" s="13" t="s">
        <v>690</v>
      </c>
      <c r="G122" s="16" t="s">
        <v>691</v>
      </c>
      <c r="H122" s="16" t="s">
        <v>692</v>
      </c>
      <c r="I122" s="16" t="s">
        <v>693</v>
      </c>
      <c r="J122" s="13">
        <v>120.0</v>
      </c>
      <c r="K122" s="13">
        <v>120.0</v>
      </c>
      <c r="L122" s="13" t="s">
        <v>36</v>
      </c>
      <c r="M122" s="13" t="s">
        <v>36</v>
      </c>
      <c r="N122" s="20" t="s">
        <v>676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7.0" customHeight="1">
      <c r="A123" s="18" t="s">
        <v>664</v>
      </c>
      <c r="B123" s="13" t="s">
        <v>694</v>
      </c>
      <c r="C123" s="13">
        <v>8.801711223344E12</v>
      </c>
      <c r="D123" s="19" t="s">
        <v>695</v>
      </c>
      <c r="E123" s="13">
        <v>2005.0</v>
      </c>
      <c r="F123" s="13" t="s">
        <v>696</v>
      </c>
      <c r="G123" s="16" t="s">
        <v>697</v>
      </c>
      <c r="H123" s="16" t="s">
        <v>698</v>
      </c>
      <c r="I123" s="16" t="s">
        <v>693</v>
      </c>
      <c r="J123" s="13">
        <v>120.0</v>
      </c>
      <c r="K123" s="13">
        <v>120.0</v>
      </c>
      <c r="L123" s="13" t="s">
        <v>36</v>
      </c>
      <c r="M123" s="13" t="s">
        <v>36</v>
      </c>
      <c r="N123" s="20" t="s">
        <v>676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7.0" customHeight="1">
      <c r="A124" s="18" t="s">
        <v>664</v>
      </c>
      <c r="B124" s="13" t="s">
        <v>699</v>
      </c>
      <c r="C124" s="13">
        <v>8.8073165749E10</v>
      </c>
      <c r="D124" s="19" t="s">
        <v>700</v>
      </c>
      <c r="E124" s="13">
        <v>2006.0</v>
      </c>
      <c r="F124" s="13" t="s">
        <v>701</v>
      </c>
      <c r="G124" s="16" t="s">
        <v>702</v>
      </c>
      <c r="H124" s="16" t="s">
        <v>703</v>
      </c>
      <c r="I124" s="16" t="s">
        <v>687</v>
      </c>
      <c r="J124" s="13">
        <v>120.0</v>
      </c>
      <c r="K124" s="13">
        <v>120.0</v>
      </c>
      <c r="L124" s="13" t="s">
        <v>36</v>
      </c>
      <c r="M124" s="13" t="s">
        <v>36</v>
      </c>
      <c r="N124" s="20" t="s">
        <v>676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7.0" customHeight="1">
      <c r="A125" s="18" t="s">
        <v>664</v>
      </c>
      <c r="B125" s="13" t="s">
        <v>704</v>
      </c>
      <c r="C125" s="13">
        <v>8.801711987654E12</v>
      </c>
      <c r="D125" s="19" t="s">
        <v>705</v>
      </c>
      <c r="E125" s="13">
        <v>2012.0</v>
      </c>
      <c r="F125" s="13" t="s">
        <v>706</v>
      </c>
      <c r="G125" s="16" t="s">
        <v>707</v>
      </c>
      <c r="H125" s="16" t="s">
        <v>708</v>
      </c>
      <c r="I125" s="16" t="s">
        <v>693</v>
      </c>
      <c r="J125" s="13">
        <v>120.0</v>
      </c>
      <c r="K125" s="13">
        <v>120.0</v>
      </c>
      <c r="L125" s="13" t="s">
        <v>36</v>
      </c>
      <c r="M125" s="13" t="s">
        <v>36</v>
      </c>
      <c r="N125" s="20" t="s">
        <v>676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7.0" customHeight="1">
      <c r="A126" s="18" t="s">
        <v>664</v>
      </c>
      <c r="B126" s="13" t="s">
        <v>709</v>
      </c>
      <c r="C126" s="13">
        <v>8.803215174E10</v>
      </c>
      <c r="D126" s="19" t="s">
        <v>710</v>
      </c>
      <c r="E126" s="13">
        <v>2006.0</v>
      </c>
      <c r="F126" s="13" t="s">
        <v>711</v>
      </c>
      <c r="G126" s="13" t="s">
        <v>712</v>
      </c>
      <c r="H126" s="16" t="s">
        <v>713</v>
      </c>
      <c r="I126" s="16" t="s">
        <v>670</v>
      </c>
      <c r="J126" s="13">
        <v>120.0</v>
      </c>
      <c r="K126" s="13">
        <v>120.0</v>
      </c>
      <c r="L126" s="13" t="s">
        <v>36</v>
      </c>
      <c r="M126" s="13" t="s">
        <v>36</v>
      </c>
      <c r="N126" s="20" t="s">
        <v>676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7.0" customHeight="1">
      <c r="A127" s="18" t="s">
        <v>664</v>
      </c>
      <c r="B127" s="13" t="s">
        <v>714</v>
      </c>
      <c r="C127" s="13">
        <v>8.802333324155E12</v>
      </c>
      <c r="D127" s="19" t="s">
        <v>715</v>
      </c>
      <c r="E127" s="13">
        <v>1952.0</v>
      </c>
      <c r="F127" s="13" t="s">
        <v>716</v>
      </c>
      <c r="G127" s="13" t="s">
        <v>657</v>
      </c>
      <c r="H127" s="16" t="s">
        <v>717</v>
      </c>
      <c r="I127" s="16" t="s">
        <v>658</v>
      </c>
      <c r="J127" s="13">
        <v>100.0</v>
      </c>
      <c r="K127" s="13">
        <v>100.0</v>
      </c>
      <c r="L127" s="13" t="s">
        <v>36</v>
      </c>
      <c r="M127" s="13" t="s">
        <v>36</v>
      </c>
      <c r="N127" s="20" t="s">
        <v>676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7.0" customHeight="1">
      <c r="A128" s="18" t="s">
        <v>664</v>
      </c>
      <c r="B128" s="13" t="s">
        <v>718</v>
      </c>
      <c r="C128" s="13">
        <v>8.801755513271E12</v>
      </c>
      <c r="D128" s="19" t="s">
        <v>719</v>
      </c>
      <c r="E128" s="13">
        <v>2010.0</v>
      </c>
      <c r="F128" s="13" t="s">
        <v>720</v>
      </c>
      <c r="G128" s="16" t="s">
        <v>721</v>
      </c>
      <c r="H128" s="16" t="s">
        <v>722</v>
      </c>
      <c r="I128" s="16" t="s">
        <v>722</v>
      </c>
      <c r="J128" s="13">
        <v>500.0</v>
      </c>
      <c r="K128" s="13">
        <v>400.0</v>
      </c>
      <c r="L128" s="13" t="s">
        <v>36</v>
      </c>
      <c r="M128" s="13">
        <v>100.0</v>
      </c>
      <c r="N128" s="20" t="s">
        <v>676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7.0" customHeight="1">
      <c r="A129" s="18" t="s">
        <v>664</v>
      </c>
      <c r="B129" s="13" t="s">
        <v>723</v>
      </c>
      <c r="C129" s="13">
        <v>8.801712521193E12</v>
      </c>
      <c r="D129" s="19" t="s">
        <v>724</v>
      </c>
      <c r="E129" s="13">
        <v>2007.0</v>
      </c>
      <c r="F129" s="13" t="s">
        <v>725</v>
      </c>
      <c r="G129" s="16" t="s">
        <v>726</v>
      </c>
      <c r="H129" s="16" t="s">
        <v>727</v>
      </c>
      <c r="I129" s="16" t="s">
        <v>728</v>
      </c>
      <c r="J129" s="13">
        <v>180.0</v>
      </c>
      <c r="K129" s="13">
        <v>180.0</v>
      </c>
      <c r="L129" s="13" t="s">
        <v>36</v>
      </c>
      <c r="M129" s="13" t="s">
        <v>36</v>
      </c>
      <c r="N129" s="20" t="s">
        <v>676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7.0" customHeight="1">
      <c r="A130" s="18" t="s">
        <v>664</v>
      </c>
      <c r="B130" s="13" t="s">
        <v>729</v>
      </c>
      <c r="C130" s="13">
        <v>8.802333301072E12</v>
      </c>
      <c r="D130" s="19" t="s">
        <v>730</v>
      </c>
      <c r="E130" s="13">
        <v>1973.0</v>
      </c>
      <c r="F130" s="13" t="s">
        <v>716</v>
      </c>
      <c r="G130" s="13" t="s">
        <v>731</v>
      </c>
      <c r="H130" s="16" t="s">
        <v>732</v>
      </c>
      <c r="I130" s="16" t="s">
        <v>733</v>
      </c>
      <c r="J130" s="13">
        <v>100.0</v>
      </c>
      <c r="K130" s="13">
        <v>100.0</v>
      </c>
      <c r="L130" s="13" t="s">
        <v>36</v>
      </c>
      <c r="M130" s="13" t="s">
        <v>36</v>
      </c>
      <c r="N130" s="20" t="s">
        <v>676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7.0" customHeight="1">
      <c r="A131" s="18" t="s">
        <v>664</v>
      </c>
      <c r="B131" s="13" t="s">
        <v>734</v>
      </c>
      <c r="C131" s="13">
        <v>8.801712111114E12</v>
      </c>
      <c r="D131" s="19" t="s">
        <v>735</v>
      </c>
      <c r="E131" s="13">
        <v>2022.0</v>
      </c>
      <c r="F131" s="13" t="s">
        <v>736</v>
      </c>
      <c r="G131" s="16" t="s">
        <v>737</v>
      </c>
      <c r="H131" s="16" t="s">
        <v>738</v>
      </c>
      <c r="I131" s="16" t="s">
        <v>670</v>
      </c>
      <c r="J131" s="13">
        <v>120.0</v>
      </c>
      <c r="K131" s="13">
        <v>120.0</v>
      </c>
      <c r="L131" s="13" t="s">
        <v>36</v>
      </c>
      <c r="M131" s="13" t="s">
        <v>36</v>
      </c>
      <c r="N131" s="20" t="s">
        <v>676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7.0" customHeight="1">
      <c r="A132" s="18" t="s">
        <v>664</v>
      </c>
      <c r="B132" s="13" t="s">
        <v>739</v>
      </c>
      <c r="C132" s="13">
        <v>8.801712111113E12</v>
      </c>
      <c r="D132" s="19" t="s">
        <v>740</v>
      </c>
      <c r="E132" s="13">
        <v>2021.0</v>
      </c>
      <c r="F132" s="13" t="s">
        <v>741</v>
      </c>
      <c r="G132" s="16" t="s">
        <v>742</v>
      </c>
      <c r="H132" s="16" t="s">
        <v>743</v>
      </c>
      <c r="I132" s="16" t="s">
        <v>744</v>
      </c>
      <c r="J132" s="13">
        <v>120.0</v>
      </c>
      <c r="K132" s="13">
        <v>120.0</v>
      </c>
      <c r="L132" s="13" t="s">
        <v>36</v>
      </c>
      <c r="M132" s="13" t="s">
        <v>36</v>
      </c>
      <c r="N132" s="20" t="s">
        <v>676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7.0" customHeight="1">
      <c r="A133" s="18" t="s">
        <v>664</v>
      </c>
      <c r="B133" s="13" t="s">
        <v>745</v>
      </c>
      <c r="C133" s="13">
        <v>8.801711181467E12</v>
      </c>
      <c r="D133" s="19" t="s">
        <v>746</v>
      </c>
      <c r="E133" s="13">
        <v>2010.0</v>
      </c>
      <c r="F133" s="13" t="s">
        <v>747</v>
      </c>
      <c r="G133" s="16" t="s">
        <v>748</v>
      </c>
      <c r="H133" s="16" t="s">
        <v>749</v>
      </c>
      <c r="I133" s="16" t="s">
        <v>728</v>
      </c>
      <c r="J133" s="13">
        <v>180.0</v>
      </c>
      <c r="K133" s="13">
        <v>180.0</v>
      </c>
      <c r="L133" s="13" t="s">
        <v>36</v>
      </c>
      <c r="M133" s="13" t="s">
        <v>36</v>
      </c>
      <c r="N133" s="20" t="s">
        <v>676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7.0" customHeight="1">
      <c r="A134" s="18" t="s">
        <v>664</v>
      </c>
      <c r="B134" s="13" t="s">
        <v>750</v>
      </c>
      <c r="C134" s="13">
        <v>8.801712111112E12</v>
      </c>
      <c r="D134" s="13" t="s">
        <v>751</v>
      </c>
      <c r="E134" s="13">
        <v>2021.0</v>
      </c>
      <c r="F134" s="13" t="s">
        <v>684</v>
      </c>
      <c r="G134" s="13" t="s">
        <v>752</v>
      </c>
      <c r="H134" s="16" t="s">
        <v>753</v>
      </c>
      <c r="I134" s="16" t="s">
        <v>744</v>
      </c>
      <c r="J134" s="13">
        <v>120.0</v>
      </c>
      <c r="K134" s="13">
        <v>120.0</v>
      </c>
      <c r="L134" s="13" t="s">
        <v>36</v>
      </c>
      <c r="M134" s="13" t="s">
        <v>36</v>
      </c>
      <c r="N134" s="20" t="s">
        <v>676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7.0" customHeight="1">
      <c r="A135" s="18" t="s">
        <v>664</v>
      </c>
      <c r="B135" s="13" t="s">
        <v>754</v>
      </c>
      <c r="C135" s="13">
        <v>8.802223363231E12</v>
      </c>
      <c r="D135" s="19" t="s">
        <v>755</v>
      </c>
      <c r="E135" s="13">
        <v>1961.0</v>
      </c>
      <c r="F135" s="13" t="s">
        <v>756</v>
      </c>
      <c r="G135" s="16" t="s">
        <v>757</v>
      </c>
      <c r="H135" s="16" t="s">
        <v>758</v>
      </c>
      <c r="I135" s="16" t="s">
        <v>728</v>
      </c>
      <c r="J135" s="13">
        <v>1000.0</v>
      </c>
      <c r="K135" s="13" t="s">
        <v>36</v>
      </c>
      <c r="L135" s="13">
        <v>1000.0</v>
      </c>
      <c r="M135" s="13" t="s">
        <v>36</v>
      </c>
      <c r="N135" s="20" t="s">
        <v>676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7.0" customHeight="1">
      <c r="A136" s="18" t="s">
        <v>664</v>
      </c>
      <c r="B136" s="13" t="s">
        <v>759</v>
      </c>
      <c r="C136" s="13">
        <v>8.80187012525E12</v>
      </c>
      <c r="D136" s="19" t="s">
        <v>760</v>
      </c>
      <c r="E136" s="13">
        <v>2006.0</v>
      </c>
      <c r="F136" s="13" t="s">
        <v>716</v>
      </c>
      <c r="G136" s="16" t="s">
        <v>761</v>
      </c>
      <c r="H136" s="16" t="s">
        <v>762</v>
      </c>
      <c r="I136" s="16" t="s">
        <v>670</v>
      </c>
      <c r="J136" s="13">
        <v>120.0</v>
      </c>
      <c r="K136" s="13">
        <v>120.0</v>
      </c>
      <c r="L136" s="13" t="s">
        <v>36</v>
      </c>
      <c r="M136" s="13" t="s">
        <v>36</v>
      </c>
      <c r="N136" s="20" t="s">
        <v>676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7.0" customHeight="1">
      <c r="A137" s="18" t="s">
        <v>664</v>
      </c>
      <c r="B137" s="13" t="s">
        <v>763</v>
      </c>
      <c r="C137" s="13">
        <v>8.801711204E12</v>
      </c>
      <c r="D137" s="19" t="s">
        <v>764</v>
      </c>
      <c r="E137" s="13">
        <v>2018.0</v>
      </c>
      <c r="F137" s="13" t="s">
        <v>679</v>
      </c>
      <c r="G137" s="16" t="s">
        <v>765</v>
      </c>
      <c r="H137" s="16" t="s">
        <v>766</v>
      </c>
      <c r="I137" s="16" t="s">
        <v>728</v>
      </c>
      <c r="J137" s="13">
        <v>120.0</v>
      </c>
      <c r="K137" s="13">
        <v>120.0</v>
      </c>
      <c r="L137" s="13" t="s">
        <v>36</v>
      </c>
      <c r="M137" s="13" t="s">
        <v>36</v>
      </c>
      <c r="N137" s="20" t="s">
        <v>676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7.0" customHeight="1">
      <c r="A138" s="18" t="s">
        <v>664</v>
      </c>
      <c r="B138" s="13" t="s">
        <v>767</v>
      </c>
      <c r="C138" s="13" t="s">
        <v>768</v>
      </c>
      <c r="D138" s="19" t="s">
        <v>769</v>
      </c>
      <c r="E138" s="13" t="s">
        <v>770</v>
      </c>
      <c r="F138" s="13" t="s">
        <v>716</v>
      </c>
      <c r="G138" s="13" t="s">
        <v>771</v>
      </c>
      <c r="H138" s="16" t="s">
        <v>772</v>
      </c>
      <c r="I138" s="16" t="s">
        <v>773</v>
      </c>
      <c r="J138" s="13" t="s">
        <v>774</v>
      </c>
      <c r="K138" s="13" t="s">
        <v>774</v>
      </c>
      <c r="L138" s="13" t="s">
        <v>36</v>
      </c>
      <c r="M138" s="13" t="s">
        <v>36</v>
      </c>
      <c r="N138" s="20" t="s">
        <v>676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7.0" customHeight="1">
      <c r="A139" s="18" t="s">
        <v>664</v>
      </c>
      <c r="B139" s="13" t="s">
        <v>775</v>
      </c>
      <c r="C139" s="13">
        <v>8.80922356064E11</v>
      </c>
      <c r="D139" s="19" t="s">
        <v>776</v>
      </c>
      <c r="E139" s="13">
        <v>2007.0</v>
      </c>
      <c r="F139" s="13" t="s">
        <v>777</v>
      </c>
      <c r="G139" s="16" t="s">
        <v>778</v>
      </c>
      <c r="H139" s="16" t="s">
        <v>779</v>
      </c>
      <c r="I139" s="16" t="s">
        <v>687</v>
      </c>
      <c r="J139" s="13">
        <v>120.0</v>
      </c>
      <c r="K139" s="13">
        <v>120.0</v>
      </c>
      <c r="L139" s="13" t="s">
        <v>36</v>
      </c>
      <c r="M139" s="13" t="s">
        <v>36</v>
      </c>
      <c r="N139" s="20" t="s">
        <v>676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7.0" customHeight="1">
      <c r="A140" s="7" t="s">
        <v>780</v>
      </c>
      <c r="B140" s="7" t="s">
        <v>781</v>
      </c>
      <c r="C140" s="8">
        <f>+880257317255</f>
        <v>880257317255</v>
      </c>
      <c r="D140" s="7" t="s">
        <v>782</v>
      </c>
      <c r="E140" s="7">
        <v>2012.0</v>
      </c>
      <c r="F140" s="7" t="s">
        <v>783</v>
      </c>
      <c r="G140" s="7" t="s">
        <v>784</v>
      </c>
      <c r="H140" s="9" t="s">
        <v>785</v>
      </c>
      <c r="I140" s="9" t="s">
        <v>786</v>
      </c>
      <c r="J140" s="7">
        <v>52.0</v>
      </c>
      <c r="K140" s="7">
        <v>52.0</v>
      </c>
      <c r="L140" s="7" t="s">
        <v>36</v>
      </c>
      <c r="M140" s="7" t="s">
        <v>36</v>
      </c>
      <c r="N140" s="20" t="s">
        <v>676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7.0" customHeight="1">
      <c r="A141" s="7" t="s">
        <v>780</v>
      </c>
      <c r="B141" s="7" t="s">
        <v>787</v>
      </c>
      <c r="C141" s="8">
        <f>+8804312173547</f>
        <v>8804312173547</v>
      </c>
      <c r="D141" s="7" t="s">
        <v>788</v>
      </c>
      <c r="E141" s="7">
        <v>2012.0</v>
      </c>
      <c r="F141" s="7" t="s">
        <v>271</v>
      </c>
      <c r="G141" s="7" t="s">
        <v>272</v>
      </c>
      <c r="H141" s="9" t="s">
        <v>789</v>
      </c>
      <c r="I141" s="9" t="s">
        <v>786</v>
      </c>
      <c r="J141" s="7">
        <v>52.0</v>
      </c>
      <c r="K141" s="7">
        <v>52.0</v>
      </c>
      <c r="L141" s="7" t="s">
        <v>36</v>
      </c>
      <c r="M141" s="7" t="s">
        <v>36</v>
      </c>
      <c r="N141" s="20" t="s">
        <v>676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0" customHeight="1">
      <c r="A142" s="7" t="s">
        <v>780</v>
      </c>
      <c r="B142" s="7" t="s">
        <v>790</v>
      </c>
      <c r="C142" s="8">
        <f>+880248117612</f>
        <v>880248117612</v>
      </c>
      <c r="D142" s="7" t="s">
        <v>791</v>
      </c>
      <c r="E142" s="7">
        <v>2012.0</v>
      </c>
      <c r="F142" s="7" t="s">
        <v>476</v>
      </c>
      <c r="G142" s="7" t="s">
        <v>792</v>
      </c>
      <c r="H142" s="9" t="s">
        <v>793</v>
      </c>
      <c r="I142" s="9" t="s">
        <v>786</v>
      </c>
      <c r="J142" s="7">
        <v>56.0</v>
      </c>
      <c r="K142" s="7">
        <v>56.0</v>
      </c>
      <c r="L142" s="7" t="s">
        <v>36</v>
      </c>
      <c r="M142" s="7" t="s">
        <v>36</v>
      </c>
      <c r="N142" s="11" t="s">
        <v>794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7.0" customHeight="1">
      <c r="A143" s="7" t="s">
        <v>780</v>
      </c>
      <c r="B143" s="7" t="s">
        <v>795</v>
      </c>
      <c r="C143" s="8">
        <f>+88052162332</f>
        <v>88052162332</v>
      </c>
      <c r="D143" s="7" t="s">
        <v>796</v>
      </c>
      <c r="E143" s="7">
        <v>2012.0</v>
      </c>
      <c r="F143" s="7" t="s">
        <v>321</v>
      </c>
      <c r="G143" s="7" t="s">
        <v>322</v>
      </c>
      <c r="H143" s="4" t="s">
        <v>797</v>
      </c>
      <c r="I143" s="9" t="s">
        <v>786</v>
      </c>
      <c r="J143" s="7">
        <v>52.0</v>
      </c>
      <c r="K143" s="7">
        <v>52.0</v>
      </c>
      <c r="L143" s="7" t="s">
        <v>36</v>
      </c>
      <c r="M143" s="7" t="s">
        <v>36</v>
      </c>
      <c r="N143" s="11" t="s">
        <v>794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7.0" customHeight="1">
      <c r="A144" s="7" t="s">
        <v>780</v>
      </c>
      <c r="B144" s="7" t="s">
        <v>798</v>
      </c>
      <c r="C144" s="8">
        <f>+880721772150</f>
        <v>880721772150</v>
      </c>
      <c r="D144" s="7" t="s">
        <v>799</v>
      </c>
      <c r="E144" s="7">
        <v>1989.0</v>
      </c>
      <c r="F144" s="7" t="s">
        <v>337</v>
      </c>
      <c r="G144" s="7" t="s">
        <v>800</v>
      </c>
      <c r="H144" s="9" t="s">
        <v>801</v>
      </c>
      <c r="I144" s="9" t="s">
        <v>786</v>
      </c>
      <c r="J144" s="7">
        <v>59.0</v>
      </c>
      <c r="K144" s="7">
        <v>59.0</v>
      </c>
      <c r="L144" s="7" t="s">
        <v>36</v>
      </c>
      <c r="M144" s="7" t="s">
        <v>36</v>
      </c>
      <c r="N144" s="11" t="s">
        <v>794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7.0" customHeight="1">
      <c r="A145" s="7" t="s">
        <v>780</v>
      </c>
      <c r="B145" s="7" t="s">
        <v>802</v>
      </c>
      <c r="C145" s="8">
        <f>+8809166063</f>
        <v>8809166063</v>
      </c>
      <c r="D145" s="7" t="s">
        <v>803</v>
      </c>
      <c r="E145" s="7">
        <v>2012.0</v>
      </c>
      <c r="F145" s="7" t="s">
        <v>804</v>
      </c>
      <c r="G145" s="7" t="s">
        <v>369</v>
      </c>
      <c r="H145" s="9" t="s">
        <v>805</v>
      </c>
      <c r="I145" s="9" t="s">
        <v>786</v>
      </c>
      <c r="J145" s="7">
        <v>52.0</v>
      </c>
      <c r="K145" s="7">
        <v>52.0</v>
      </c>
      <c r="L145" s="7" t="s">
        <v>36</v>
      </c>
      <c r="M145" s="7" t="s">
        <v>36</v>
      </c>
      <c r="N145" s="11" t="s">
        <v>794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7.0" customHeight="1">
      <c r="A146" s="7" t="s">
        <v>780</v>
      </c>
      <c r="B146" s="7" t="s">
        <v>806</v>
      </c>
      <c r="C146" s="8">
        <f>+880821714324</f>
        <v>880821714324</v>
      </c>
      <c r="D146" s="7" t="s">
        <v>807</v>
      </c>
      <c r="E146" s="7">
        <v>2012.0</v>
      </c>
      <c r="F146" s="7" t="s">
        <v>808</v>
      </c>
      <c r="G146" s="7" t="s">
        <v>809</v>
      </c>
      <c r="H146" s="4" t="s">
        <v>810</v>
      </c>
      <c r="I146" s="9" t="s">
        <v>786</v>
      </c>
      <c r="J146" s="7">
        <v>52.0</v>
      </c>
      <c r="K146" s="7">
        <v>52.0</v>
      </c>
      <c r="L146" s="7" t="s">
        <v>36</v>
      </c>
      <c r="M146" s="7" t="s">
        <v>36</v>
      </c>
      <c r="N146" s="11" t="s">
        <v>794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7.0" customHeight="1">
      <c r="A147" s="7" t="s">
        <v>780</v>
      </c>
      <c r="B147" s="7" t="s">
        <v>811</v>
      </c>
      <c r="C147" s="8">
        <f>+8801967117515</f>
        <v>8801967117515</v>
      </c>
      <c r="D147" s="7" t="s">
        <v>812</v>
      </c>
      <c r="E147" s="7">
        <v>1960.0</v>
      </c>
      <c r="F147" s="7" t="s">
        <v>813</v>
      </c>
      <c r="G147" s="7" t="s">
        <v>814</v>
      </c>
      <c r="H147" s="9" t="s">
        <v>815</v>
      </c>
      <c r="I147" s="9" t="s">
        <v>786</v>
      </c>
      <c r="J147" s="7">
        <v>110.0</v>
      </c>
      <c r="K147" s="7">
        <v>110.0</v>
      </c>
      <c r="L147" s="7" t="s">
        <v>36</v>
      </c>
      <c r="M147" s="7" t="s">
        <v>36</v>
      </c>
      <c r="N147" s="11" t="s">
        <v>794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7.0" customHeight="1">
      <c r="A148" s="7" t="s">
        <v>780</v>
      </c>
      <c r="B148" s="7" t="s">
        <v>816</v>
      </c>
      <c r="C148" s="8">
        <f>+88031616497</f>
        <v>88031616497</v>
      </c>
      <c r="D148" s="7" t="s">
        <v>817</v>
      </c>
      <c r="E148" s="7">
        <v>1990.0</v>
      </c>
      <c r="F148" s="7" t="s">
        <v>818</v>
      </c>
      <c r="G148" s="7" t="s">
        <v>819</v>
      </c>
      <c r="H148" s="9" t="s">
        <v>820</v>
      </c>
      <c r="I148" s="9" t="s">
        <v>786</v>
      </c>
      <c r="J148" s="7">
        <v>60.0</v>
      </c>
      <c r="K148" s="7">
        <v>60.0</v>
      </c>
      <c r="L148" s="7" t="s">
        <v>36</v>
      </c>
      <c r="M148" s="7" t="s">
        <v>36</v>
      </c>
      <c r="N148" s="11" t="s">
        <v>794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7.0" customHeight="1">
      <c r="A149" s="18" t="s">
        <v>821</v>
      </c>
      <c r="B149" s="13" t="s">
        <v>822</v>
      </c>
      <c r="C149" s="13">
        <v>8.801715055006E12</v>
      </c>
      <c r="D149" s="13" t="s">
        <v>823</v>
      </c>
      <c r="E149" s="13">
        <v>2011.0</v>
      </c>
      <c r="F149" s="13" t="s">
        <v>383</v>
      </c>
      <c r="G149" s="13" t="s">
        <v>824</v>
      </c>
      <c r="H149" s="16" t="s">
        <v>825</v>
      </c>
      <c r="I149" s="16" t="s">
        <v>826</v>
      </c>
      <c r="J149" s="13">
        <v>100.0</v>
      </c>
      <c r="K149" s="13">
        <v>100.0</v>
      </c>
      <c r="L149" s="13" t="s">
        <v>36</v>
      </c>
      <c r="M149" s="13" t="s">
        <v>36</v>
      </c>
      <c r="N149" s="11" t="s">
        <v>794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7.0" customHeight="1">
      <c r="A150" s="18" t="s">
        <v>821</v>
      </c>
      <c r="B150" s="13" t="s">
        <v>827</v>
      </c>
      <c r="C150" s="13">
        <v>8.801718136377E12</v>
      </c>
      <c r="D150" s="13" t="s">
        <v>828</v>
      </c>
      <c r="E150" s="13">
        <v>2011.0</v>
      </c>
      <c r="F150" s="13" t="s">
        <v>321</v>
      </c>
      <c r="G150" s="13" t="s">
        <v>829</v>
      </c>
      <c r="H150" s="16" t="s">
        <v>825</v>
      </c>
      <c r="I150" s="16" t="s">
        <v>826</v>
      </c>
      <c r="J150" s="13">
        <v>100.0</v>
      </c>
      <c r="K150" s="13">
        <v>100.0</v>
      </c>
      <c r="L150" s="13" t="s">
        <v>36</v>
      </c>
      <c r="M150" s="13" t="s">
        <v>36</v>
      </c>
      <c r="N150" s="11" t="s">
        <v>794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7.0" customHeight="1">
      <c r="A151" s="18" t="s">
        <v>821</v>
      </c>
      <c r="B151" s="13" t="s">
        <v>830</v>
      </c>
      <c r="C151" s="13">
        <v>8.801715052988E12</v>
      </c>
      <c r="D151" s="13" t="s">
        <v>831</v>
      </c>
      <c r="E151" s="13">
        <v>2008.0</v>
      </c>
      <c r="F151" s="13" t="s">
        <v>832</v>
      </c>
      <c r="G151" s="13" t="s">
        <v>833</v>
      </c>
      <c r="H151" s="16" t="s">
        <v>825</v>
      </c>
      <c r="I151" s="16" t="s">
        <v>826</v>
      </c>
      <c r="J151" s="13">
        <v>100.0</v>
      </c>
      <c r="K151" s="13">
        <v>100.0</v>
      </c>
      <c r="L151" s="13" t="s">
        <v>36</v>
      </c>
      <c r="M151" s="13" t="s">
        <v>36</v>
      </c>
      <c r="N151" s="20" t="s">
        <v>834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7.0" customHeight="1">
      <c r="A152" s="18" t="s">
        <v>821</v>
      </c>
      <c r="B152" s="13" t="s">
        <v>835</v>
      </c>
      <c r="C152" s="13">
        <v>8.8056152431E10</v>
      </c>
      <c r="D152" s="13" t="s">
        <v>836</v>
      </c>
      <c r="E152" s="13">
        <v>1970.0</v>
      </c>
      <c r="F152" s="13" t="s">
        <v>837</v>
      </c>
      <c r="G152" s="13" t="s">
        <v>838</v>
      </c>
      <c r="H152" s="16" t="s">
        <v>825</v>
      </c>
      <c r="I152" s="16" t="s">
        <v>826</v>
      </c>
      <c r="J152" s="13">
        <v>80.0</v>
      </c>
      <c r="K152" s="13">
        <v>80.0</v>
      </c>
      <c r="L152" s="13" t="s">
        <v>36</v>
      </c>
      <c r="M152" s="13" t="s">
        <v>36</v>
      </c>
      <c r="N152" s="20" t="s">
        <v>834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7.0" customHeight="1">
      <c r="A153" s="18" t="s">
        <v>821</v>
      </c>
      <c r="B153" s="13" t="s">
        <v>839</v>
      </c>
      <c r="C153" s="13">
        <v>8.8092161301E10</v>
      </c>
      <c r="D153" s="13" t="s">
        <v>840</v>
      </c>
      <c r="E153" s="13">
        <v>1970.0</v>
      </c>
      <c r="F153" s="13" t="s">
        <v>281</v>
      </c>
      <c r="G153" s="13" t="s">
        <v>841</v>
      </c>
      <c r="H153" s="16" t="s">
        <v>825</v>
      </c>
      <c r="I153" s="16" t="s">
        <v>826</v>
      </c>
      <c r="J153" s="13">
        <v>80.0</v>
      </c>
      <c r="K153" s="13">
        <v>80.0</v>
      </c>
      <c r="L153" s="13" t="s">
        <v>36</v>
      </c>
      <c r="M153" s="13" t="s">
        <v>36</v>
      </c>
      <c r="N153" s="20" t="s">
        <v>834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7.0" customHeight="1">
      <c r="A154" s="18" t="s">
        <v>821</v>
      </c>
      <c r="B154" s="13" t="s">
        <v>842</v>
      </c>
      <c r="C154" s="13">
        <v>8.8075164471E10</v>
      </c>
      <c r="D154" s="13" t="s">
        <v>843</v>
      </c>
      <c r="E154" s="13">
        <v>1970.0</v>
      </c>
      <c r="F154" s="13" t="s">
        <v>311</v>
      </c>
      <c r="G154" s="13" t="s">
        <v>844</v>
      </c>
      <c r="H154" s="16" t="s">
        <v>825</v>
      </c>
      <c r="I154" s="16" t="s">
        <v>826</v>
      </c>
      <c r="J154" s="13">
        <v>100.0</v>
      </c>
      <c r="K154" s="13">
        <v>100.0</v>
      </c>
      <c r="L154" s="13" t="s">
        <v>36</v>
      </c>
      <c r="M154" s="13" t="s">
        <v>36</v>
      </c>
      <c r="N154" s="20" t="s">
        <v>834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7.0" customHeight="1">
      <c r="A155" s="18" t="s">
        <v>821</v>
      </c>
      <c r="B155" s="13" t="s">
        <v>845</v>
      </c>
      <c r="C155" s="13">
        <v>8.8093161241E10</v>
      </c>
      <c r="D155" s="13" t="s">
        <v>846</v>
      </c>
      <c r="E155" s="13">
        <v>1970.0</v>
      </c>
      <c r="F155" s="13" t="s">
        <v>847</v>
      </c>
      <c r="G155" s="13" t="s">
        <v>848</v>
      </c>
      <c r="H155" s="16" t="s">
        <v>825</v>
      </c>
      <c r="I155" s="16" t="s">
        <v>826</v>
      </c>
      <c r="J155" s="13">
        <v>80.0</v>
      </c>
      <c r="K155" s="13">
        <v>80.0</v>
      </c>
      <c r="L155" s="13" t="s">
        <v>36</v>
      </c>
      <c r="M155" s="13" t="s">
        <v>36</v>
      </c>
      <c r="N155" s="20" t="s">
        <v>834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7.0" customHeight="1">
      <c r="A156" s="18" t="s">
        <v>821</v>
      </c>
      <c r="B156" s="13" t="s">
        <v>849</v>
      </c>
      <c r="C156" s="13">
        <v>8.8047164402E10</v>
      </c>
      <c r="D156" s="13" t="s">
        <v>850</v>
      </c>
      <c r="E156" s="13">
        <v>1970.0</v>
      </c>
      <c r="F156" s="13" t="s">
        <v>316</v>
      </c>
      <c r="G156" s="13" t="s">
        <v>851</v>
      </c>
      <c r="H156" s="16" t="s">
        <v>825</v>
      </c>
      <c r="I156" s="16" t="s">
        <v>826</v>
      </c>
      <c r="J156" s="13">
        <v>80.0</v>
      </c>
      <c r="K156" s="13">
        <v>80.0</v>
      </c>
      <c r="L156" s="13" t="s">
        <v>36</v>
      </c>
      <c r="M156" s="13" t="s">
        <v>36</v>
      </c>
      <c r="N156" s="20" t="s">
        <v>834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7.0" customHeight="1">
      <c r="A157" s="18" t="s">
        <v>821</v>
      </c>
      <c r="B157" s="13" t="s">
        <v>852</v>
      </c>
      <c r="C157" s="13">
        <v>8.8035161042E10</v>
      </c>
      <c r="D157" s="13" t="s">
        <v>853</v>
      </c>
      <c r="E157" s="13">
        <v>1970.0</v>
      </c>
      <c r="F157" s="13" t="s">
        <v>326</v>
      </c>
      <c r="G157" s="13" t="s">
        <v>854</v>
      </c>
      <c r="H157" s="16" t="s">
        <v>825</v>
      </c>
      <c r="I157" s="16" t="s">
        <v>826</v>
      </c>
      <c r="J157" s="13">
        <v>80.0</v>
      </c>
      <c r="K157" s="13">
        <v>80.0</v>
      </c>
      <c r="L157" s="13" t="s">
        <v>36</v>
      </c>
      <c r="M157" s="13" t="s">
        <v>36</v>
      </c>
      <c r="N157" s="20" t="s">
        <v>834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7.0" customHeight="1">
      <c r="A158" s="18" t="s">
        <v>821</v>
      </c>
      <c r="B158" s="13" t="s">
        <v>855</v>
      </c>
      <c r="C158" s="13">
        <v>8.8064165421E10</v>
      </c>
      <c r="D158" s="13" t="s">
        <v>856</v>
      </c>
      <c r="E158" s="13">
        <v>1970.0</v>
      </c>
      <c r="F158" s="13" t="s">
        <v>857</v>
      </c>
      <c r="G158" s="13" t="s">
        <v>858</v>
      </c>
      <c r="H158" s="16" t="s">
        <v>825</v>
      </c>
      <c r="I158" s="16" t="s">
        <v>826</v>
      </c>
      <c r="J158" s="13">
        <v>100.0</v>
      </c>
      <c r="K158" s="13">
        <v>100.0</v>
      </c>
      <c r="L158" s="13" t="s">
        <v>36</v>
      </c>
      <c r="M158" s="13" t="s">
        <v>36</v>
      </c>
      <c r="N158" s="20" t="s">
        <v>834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7.0" customHeight="1">
      <c r="A159" s="18" t="s">
        <v>821</v>
      </c>
      <c r="B159" s="13" t="s">
        <v>859</v>
      </c>
      <c r="C159" s="13">
        <v>8.80461623E10</v>
      </c>
      <c r="D159" s="13" t="s">
        <v>860</v>
      </c>
      <c r="E159" s="13">
        <v>1970.0</v>
      </c>
      <c r="F159" s="13" t="s">
        <v>861</v>
      </c>
      <c r="G159" s="13" t="s">
        <v>862</v>
      </c>
      <c r="H159" s="16" t="s">
        <v>825</v>
      </c>
      <c r="I159" s="16" t="s">
        <v>826</v>
      </c>
      <c r="J159" s="13">
        <v>50.0</v>
      </c>
      <c r="K159" s="13">
        <v>50.0</v>
      </c>
      <c r="L159" s="13" t="s">
        <v>36</v>
      </c>
      <c r="M159" s="13" t="s">
        <v>36</v>
      </c>
      <c r="N159" s="20" t="s">
        <v>834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7.0" customHeight="1">
      <c r="A160" s="18" t="s">
        <v>821</v>
      </c>
      <c r="B160" s="13" t="s">
        <v>863</v>
      </c>
      <c r="C160" s="13">
        <v>8.80441634E10</v>
      </c>
      <c r="D160" s="13" t="s">
        <v>864</v>
      </c>
      <c r="E160" s="13">
        <v>1970.0</v>
      </c>
      <c r="F160" s="13" t="s">
        <v>342</v>
      </c>
      <c r="G160" s="13" t="s">
        <v>865</v>
      </c>
      <c r="H160" s="16" t="s">
        <v>825</v>
      </c>
      <c r="I160" s="16" t="s">
        <v>826</v>
      </c>
      <c r="J160" s="13">
        <v>80.0</v>
      </c>
      <c r="K160" s="13">
        <v>80.0</v>
      </c>
      <c r="L160" s="13" t="s">
        <v>36</v>
      </c>
      <c r="M160" s="13" t="s">
        <v>36</v>
      </c>
      <c r="N160" s="20" t="s">
        <v>834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7.0" customHeight="1">
      <c r="A161" s="18" t="s">
        <v>821</v>
      </c>
      <c r="B161" s="13" t="s">
        <v>866</v>
      </c>
      <c r="C161" s="13">
        <v>8.80172189878E12</v>
      </c>
      <c r="D161" s="13" t="s">
        <v>867</v>
      </c>
      <c r="E161" s="13">
        <v>1970.0</v>
      </c>
      <c r="F161" s="13" t="s">
        <v>868</v>
      </c>
      <c r="G161" s="13" t="s">
        <v>869</v>
      </c>
      <c r="H161" s="16" t="s">
        <v>825</v>
      </c>
      <c r="I161" s="16" t="s">
        <v>826</v>
      </c>
      <c r="J161" s="13">
        <v>50.0</v>
      </c>
      <c r="K161" s="13">
        <v>50.0</v>
      </c>
      <c r="L161" s="13" t="s">
        <v>36</v>
      </c>
      <c r="M161" s="13" t="s">
        <v>36</v>
      </c>
      <c r="N161" s="20" t="s">
        <v>834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7.0" customHeight="1">
      <c r="A162" s="18" t="s">
        <v>821</v>
      </c>
      <c r="B162" s="13" t="s">
        <v>870</v>
      </c>
      <c r="C162" s="13">
        <v>8.8073164923E10</v>
      </c>
      <c r="D162" s="13" t="s">
        <v>871</v>
      </c>
      <c r="E162" s="13">
        <v>1970.0</v>
      </c>
      <c r="F162" s="13" t="s">
        <v>872</v>
      </c>
      <c r="G162" s="13" t="s">
        <v>873</v>
      </c>
      <c r="H162" s="16" t="s">
        <v>825</v>
      </c>
      <c r="I162" s="16" t="s">
        <v>826</v>
      </c>
      <c r="J162" s="13">
        <v>100.0</v>
      </c>
      <c r="K162" s="13">
        <v>100.0</v>
      </c>
      <c r="L162" s="13" t="s">
        <v>36</v>
      </c>
      <c r="M162" s="13" t="s">
        <v>36</v>
      </c>
      <c r="N162" s="20" t="s">
        <v>834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7.0" customHeight="1">
      <c r="A163" s="18" t="s">
        <v>821</v>
      </c>
      <c r="B163" s="13" t="s">
        <v>874</v>
      </c>
      <c r="C163" s="13">
        <v>8.8032162621E10</v>
      </c>
      <c r="D163" s="13" t="s">
        <v>875</v>
      </c>
      <c r="E163" s="13">
        <v>1970.0</v>
      </c>
      <c r="F163" s="13" t="s">
        <v>465</v>
      </c>
      <c r="G163" s="13" t="s">
        <v>876</v>
      </c>
      <c r="H163" s="16" t="s">
        <v>825</v>
      </c>
      <c r="I163" s="16" t="s">
        <v>826</v>
      </c>
      <c r="J163" s="13">
        <v>100.0</v>
      </c>
      <c r="K163" s="13">
        <v>100.0</v>
      </c>
      <c r="L163" s="13" t="s">
        <v>36</v>
      </c>
      <c r="M163" s="13" t="s">
        <v>36</v>
      </c>
      <c r="N163" s="20" t="s">
        <v>834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7.0" customHeight="1">
      <c r="A164" s="18" t="s">
        <v>821</v>
      </c>
      <c r="B164" s="13" t="s">
        <v>877</v>
      </c>
      <c r="C164" s="13">
        <v>8.80551614E10</v>
      </c>
      <c r="D164" s="13" t="s">
        <v>878</v>
      </c>
      <c r="E164" s="13">
        <v>1970.0</v>
      </c>
      <c r="F164" s="13" t="s">
        <v>352</v>
      </c>
      <c r="G164" s="13" t="s">
        <v>879</v>
      </c>
      <c r="H164" s="16" t="s">
        <v>825</v>
      </c>
      <c r="I164" s="16" t="s">
        <v>826</v>
      </c>
      <c r="J164" s="13">
        <v>50.0</v>
      </c>
      <c r="K164" s="13">
        <v>50.0</v>
      </c>
      <c r="L164" s="13" t="s">
        <v>36</v>
      </c>
      <c r="M164" s="13" t="s">
        <v>36</v>
      </c>
      <c r="N164" s="20" t="s">
        <v>834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7.0" customHeight="1">
      <c r="A165" s="18" t="s">
        <v>821</v>
      </c>
      <c r="B165" s="13" t="s">
        <v>880</v>
      </c>
      <c r="C165" s="13">
        <v>8.8093161555E10</v>
      </c>
      <c r="D165" s="13" t="s">
        <v>881</v>
      </c>
      <c r="E165" s="13">
        <v>1970.0</v>
      </c>
      <c r="F165" s="13" t="s">
        <v>357</v>
      </c>
      <c r="G165" s="13" t="s">
        <v>882</v>
      </c>
      <c r="H165" s="16" t="s">
        <v>825</v>
      </c>
      <c r="I165" s="16" t="s">
        <v>826</v>
      </c>
      <c r="J165" s="13">
        <v>80.0</v>
      </c>
      <c r="K165" s="13">
        <v>80.0</v>
      </c>
      <c r="L165" s="13" t="s">
        <v>36</v>
      </c>
      <c r="M165" s="13" t="s">
        <v>36</v>
      </c>
      <c r="N165" s="20" t="s">
        <v>834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7.0" customHeight="1">
      <c r="A166" s="18" t="s">
        <v>821</v>
      </c>
      <c r="B166" s="13" t="s">
        <v>883</v>
      </c>
      <c r="C166" s="13">
        <v>8.80741613E10</v>
      </c>
      <c r="D166" s="13" t="s">
        <v>884</v>
      </c>
      <c r="E166" s="13">
        <v>1970.0</v>
      </c>
      <c r="F166" s="13" t="s">
        <v>362</v>
      </c>
      <c r="G166" s="13" t="s">
        <v>885</v>
      </c>
      <c r="H166" s="16" t="s">
        <v>825</v>
      </c>
      <c r="I166" s="16" t="s">
        <v>826</v>
      </c>
      <c r="J166" s="13">
        <v>50.0</v>
      </c>
      <c r="K166" s="13">
        <v>50.0</v>
      </c>
      <c r="L166" s="13" t="s">
        <v>36</v>
      </c>
      <c r="M166" s="13" t="s">
        <v>36</v>
      </c>
      <c r="N166" s="20" t="s">
        <v>834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7.0" customHeight="1">
      <c r="A167" s="18" t="s">
        <v>821</v>
      </c>
      <c r="B167" s="13" t="s">
        <v>886</v>
      </c>
      <c r="C167" s="13">
        <v>8.8027611032E10</v>
      </c>
      <c r="D167" s="13" t="s">
        <v>887</v>
      </c>
      <c r="E167" s="13">
        <v>1970.0</v>
      </c>
      <c r="F167" s="13" t="s">
        <v>888</v>
      </c>
      <c r="G167" s="13" t="s">
        <v>889</v>
      </c>
      <c r="H167" s="16" t="s">
        <v>825</v>
      </c>
      <c r="I167" s="16" t="s">
        <v>826</v>
      </c>
      <c r="J167" s="13">
        <v>100.0</v>
      </c>
      <c r="K167" s="13">
        <v>100.0</v>
      </c>
      <c r="L167" s="13" t="s">
        <v>36</v>
      </c>
      <c r="M167" s="13" t="s">
        <v>36</v>
      </c>
      <c r="N167" s="20" t="s">
        <v>834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7.0" customHeight="1">
      <c r="A168" s="18" t="s">
        <v>821</v>
      </c>
      <c r="B168" s="13" t="s">
        <v>890</v>
      </c>
      <c r="C168" s="13">
        <v>8.8086152341E10</v>
      </c>
      <c r="D168" s="13" t="s">
        <v>891</v>
      </c>
      <c r="E168" s="13">
        <v>1970.0</v>
      </c>
      <c r="F168" s="13" t="s">
        <v>892</v>
      </c>
      <c r="G168" s="13" t="s">
        <v>893</v>
      </c>
      <c r="H168" s="16" t="s">
        <v>825</v>
      </c>
      <c r="I168" s="16" t="s">
        <v>826</v>
      </c>
      <c r="J168" s="13">
        <v>80.0</v>
      </c>
      <c r="K168" s="13">
        <v>80.0</v>
      </c>
      <c r="L168" s="13" t="s">
        <v>36</v>
      </c>
      <c r="M168" s="13" t="s">
        <v>36</v>
      </c>
      <c r="N168" s="20" t="s">
        <v>834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7.0" customHeight="1">
      <c r="A169" s="18" t="s">
        <v>821</v>
      </c>
      <c r="B169" s="13" t="s">
        <v>894</v>
      </c>
      <c r="C169" s="13">
        <v>8.80257316558E11</v>
      </c>
      <c r="D169" s="13" t="s">
        <v>895</v>
      </c>
      <c r="E169" s="13">
        <v>1970.0</v>
      </c>
      <c r="F169" s="13" t="s">
        <v>266</v>
      </c>
      <c r="G169" s="13" t="s">
        <v>896</v>
      </c>
      <c r="H169" s="16" t="s">
        <v>825</v>
      </c>
      <c r="I169" s="16" t="s">
        <v>826</v>
      </c>
      <c r="J169" s="13">
        <v>80.0</v>
      </c>
      <c r="K169" s="13">
        <v>80.0</v>
      </c>
      <c r="L169" s="13" t="s">
        <v>36</v>
      </c>
      <c r="M169" s="13" t="s">
        <v>36</v>
      </c>
      <c r="N169" s="20" t="s">
        <v>834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7.0" customHeight="1">
      <c r="A170" s="18" t="s">
        <v>821</v>
      </c>
      <c r="B170" s="13" t="s">
        <v>897</v>
      </c>
      <c r="C170" s="13">
        <v>8.80488623E10</v>
      </c>
      <c r="D170" s="13" t="s">
        <v>898</v>
      </c>
      <c r="E170" s="13">
        <v>1970.0</v>
      </c>
      <c r="F170" s="13" t="s">
        <v>378</v>
      </c>
      <c r="G170" s="13" t="s">
        <v>899</v>
      </c>
      <c r="H170" s="16" t="s">
        <v>825</v>
      </c>
      <c r="I170" s="16" t="s">
        <v>826</v>
      </c>
      <c r="J170" s="13">
        <v>50.0</v>
      </c>
      <c r="K170" s="13">
        <v>50.0</v>
      </c>
      <c r="L170" s="13" t="s">
        <v>36</v>
      </c>
      <c r="M170" s="13" t="s">
        <v>36</v>
      </c>
      <c r="N170" s="20" t="s">
        <v>834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7.0" customHeight="1">
      <c r="A171" s="18" t="s">
        <v>821</v>
      </c>
      <c r="B171" s="13" t="s">
        <v>900</v>
      </c>
      <c r="C171" s="13">
        <v>8.80661613E10</v>
      </c>
      <c r="D171" s="13" t="s">
        <v>901</v>
      </c>
      <c r="E171" s="13">
        <v>1970.0</v>
      </c>
      <c r="F171" s="13" t="s">
        <v>902</v>
      </c>
      <c r="G171" s="13" t="s">
        <v>903</v>
      </c>
      <c r="H171" s="16" t="s">
        <v>825</v>
      </c>
      <c r="I171" s="16" t="s">
        <v>826</v>
      </c>
      <c r="J171" s="13">
        <v>50.0</v>
      </c>
      <c r="K171" s="13">
        <v>50.0</v>
      </c>
      <c r="L171" s="13" t="s">
        <v>36</v>
      </c>
      <c r="M171" s="13" t="s">
        <v>36</v>
      </c>
      <c r="N171" s="20" t="s">
        <v>834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7.0" customHeight="1">
      <c r="A172" s="18" t="s">
        <v>821</v>
      </c>
      <c r="B172" s="13" t="s">
        <v>904</v>
      </c>
      <c r="C172" s="13" t="s">
        <v>905</v>
      </c>
      <c r="D172" s="13" t="s">
        <v>906</v>
      </c>
      <c r="E172" s="13">
        <v>1970.0</v>
      </c>
      <c r="F172" s="13" t="s">
        <v>393</v>
      </c>
      <c r="G172" s="13" t="s">
        <v>907</v>
      </c>
      <c r="H172" s="16" t="s">
        <v>825</v>
      </c>
      <c r="I172" s="16" t="s">
        <v>826</v>
      </c>
      <c r="J172" s="13">
        <v>100.0</v>
      </c>
      <c r="K172" s="13">
        <v>100.0</v>
      </c>
      <c r="L172" s="13" t="s">
        <v>36</v>
      </c>
      <c r="M172" s="13" t="s">
        <v>36</v>
      </c>
      <c r="N172" s="20" t="s">
        <v>834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7.0" customHeight="1">
      <c r="A173" s="18" t="s">
        <v>821</v>
      </c>
      <c r="B173" s="13" t="s">
        <v>908</v>
      </c>
      <c r="C173" s="13">
        <v>8.8058161522E10</v>
      </c>
      <c r="D173" s="13" t="s">
        <v>909</v>
      </c>
      <c r="E173" s="13">
        <v>1970.0</v>
      </c>
      <c r="F173" s="13" t="s">
        <v>910</v>
      </c>
      <c r="G173" s="13" t="s">
        <v>911</v>
      </c>
      <c r="H173" s="16" t="s">
        <v>825</v>
      </c>
      <c r="I173" s="16" t="s">
        <v>826</v>
      </c>
      <c r="J173" s="13">
        <v>80.0</v>
      </c>
      <c r="K173" s="13">
        <v>80.0</v>
      </c>
      <c r="L173" s="13" t="s">
        <v>36</v>
      </c>
      <c r="M173" s="13" t="s">
        <v>36</v>
      </c>
      <c r="N173" s="20" t="s">
        <v>834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7.0" customHeight="1">
      <c r="A174" s="18" t="s">
        <v>821</v>
      </c>
      <c r="B174" s="13" t="s">
        <v>912</v>
      </c>
      <c r="C174" s="13">
        <v>8.8094161271E10</v>
      </c>
      <c r="D174" s="13" t="s">
        <v>913</v>
      </c>
      <c r="E174" s="13">
        <v>1970.0</v>
      </c>
      <c r="F174" s="13" t="s">
        <v>301</v>
      </c>
      <c r="G174" s="13" t="s">
        <v>914</v>
      </c>
      <c r="H174" s="16" t="s">
        <v>825</v>
      </c>
      <c r="I174" s="16" t="s">
        <v>826</v>
      </c>
      <c r="J174" s="13">
        <v>50.0</v>
      </c>
      <c r="K174" s="13">
        <v>50.0</v>
      </c>
      <c r="L174" s="13" t="s">
        <v>36</v>
      </c>
      <c r="M174" s="13" t="s">
        <v>36</v>
      </c>
      <c r="N174" s="20" t="s">
        <v>834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7.0" customHeight="1">
      <c r="A175" s="18" t="s">
        <v>821</v>
      </c>
      <c r="B175" s="13" t="s">
        <v>915</v>
      </c>
      <c r="C175" s="13">
        <v>8.804176035E10</v>
      </c>
      <c r="D175" s="13" t="s">
        <v>916</v>
      </c>
      <c r="E175" s="13">
        <v>1970.0</v>
      </c>
      <c r="F175" s="13" t="s">
        <v>403</v>
      </c>
      <c r="G175" s="13" t="s">
        <v>917</v>
      </c>
      <c r="H175" s="16" t="s">
        <v>825</v>
      </c>
      <c r="I175" s="16" t="s">
        <v>826</v>
      </c>
      <c r="J175" s="13">
        <v>80.0</v>
      </c>
      <c r="K175" s="13">
        <v>80.0</v>
      </c>
      <c r="L175" s="13" t="s">
        <v>36</v>
      </c>
      <c r="M175" s="13" t="s">
        <v>36</v>
      </c>
      <c r="N175" s="20" t="s">
        <v>834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7.0" customHeight="1">
      <c r="A176" s="18" t="s">
        <v>821</v>
      </c>
      <c r="B176" s="13" t="s">
        <v>918</v>
      </c>
      <c r="C176" s="13">
        <v>8.8057162231E10</v>
      </c>
      <c r="D176" s="13" t="s">
        <v>919</v>
      </c>
      <c r="E176" s="13">
        <v>1970.0</v>
      </c>
      <c r="F176" s="13" t="s">
        <v>920</v>
      </c>
      <c r="G176" s="13" t="s">
        <v>921</v>
      </c>
      <c r="H176" s="16" t="s">
        <v>825</v>
      </c>
      <c r="I176" s="16" t="s">
        <v>826</v>
      </c>
      <c r="J176" s="13">
        <v>100.0</v>
      </c>
      <c r="K176" s="13">
        <v>100.0</v>
      </c>
      <c r="L176" s="13" t="s">
        <v>36</v>
      </c>
      <c r="M176" s="13" t="s">
        <v>36</v>
      </c>
      <c r="N176" s="20" t="s">
        <v>834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7.0" customHeight="1">
      <c r="A177" s="18" t="s">
        <v>821</v>
      </c>
      <c r="B177" s="13" t="s">
        <v>922</v>
      </c>
      <c r="C177" s="13">
        <v>8.80451623E10</v>
      </c>
      <c r="D177" s="13" t="s">
        <v>923</v>
      </c>
      <c r="E177" s="13">
        <v>1970.0</v>
      </c>
      <c r="F177" s="13" t="s">
        <v>924</v>
      </c>
      <c r="G177" s="13" t="s">
        <v>925</v>
      </c>
      <c r="H177" s="16" t="s">
        <v>825</v>
      </c>
      <c r="I177" s="16" t="s">
        <v>826</v>
      </c>
      <c r="J177" s="13">
        <v>50.0</v>
      </c>
      <c r="K177" s="13">
        <v>50.0</v>
      </c>
      <c r="L177" s="13" t="s">
        <v>36</v>
      </c>
      <c r="M177" s="13" t="s">
        <v>36</v>
      </c>
      <c r="N177" s="20" t="s">
        <v>834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7.0" customHeight="1">
      <c r="A178" s="18" t="s">
        <v>821</v>
      </c>
      <c r="B178" s="13" t="s">
        <v>926</v>
      </c>
      <c r="C178" s="13">
        <v>8.804216894E10</v>
      </c>
      <c r="D178" s="13" t="s">
        <v>927</v>
      </c>
      <c r="E178" s="13">
        <v>1970.0</v>
      </c>
      <c r="F178" s="13" t="s">
        <v>408</v>
      </c>
      <c r="G178" s="13" t="s">
        <v>928</v>
      </c>
      <c r="H178" s="16" t="s">
        <v>825</v>
      </c>
      <c r="I178" s="16" t="s">
        <v>826</v>
      </c>
      <c r="J178" s="13">
        <v>100.0</v>
      </c>
      <c r="K178" s="13">
        <v>100.0</v>
      </c>
      <c r="L178" s="13" t="s">
        <v>36</v>
      </c>
      <c r="M178" s="13" t="s">
        <v>36</v>
      </c>
      <c r="N178" s="20" t="s">
        <v>834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7.0" customHeight="1">
      <c r="A179" s="18" t="s">
        <v>821</v>
      </c>
      <c r="B179" s="13" t="s">
        <v>929</v>
      </c>
      <c r="C179" s="13">
        <v>8.8098163014E10</v>
      </c>
      <c r="D179" s="13" t="s">
        <v>930</v>
      </c>
      <c r="E179" s="13">
        <v>1970.0</v>
      </c>
      <c r="F179" s="13" t="s">
        <v>931</v>
      </c>
      <c r="G179" s="13" t="s">
        <v>932</v>
      </c>
      <c r="H179" s="16" t="s">
        <v>825</v>
      </c>
      <c r="I179" s="16" t="s">
        <v>826</v>
      </c>
      <c r="J179" s="13">
        <v>50.0</v>
      </c>
      <c r="K179" s="13">
        <v>50.0</v>
      </c>
      <c r="L179" s="13" t="s">
        <v>36</v>
      </c>
      <c r="M179" s="13" t="s">
        <v>36</v>
      </c>
      <c r="N179" s="20" t="s">
        <v>834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7.0" customHeight="1">
      <c r="A180" s="18" t="s">
        <v>821</v>
      </c>
      <c r="B180" s="13" t="s">
        <v>933</v>
      </c>
      <c r="C180" s="13">
        <v>8.8083161244E10</v>
      </c>
      <c r="D180" s="13" t="s">
        <v>934</v>
      </c>
      <c r="E180" s="13">
        <v>1970.0</v>
      </c>
      <c r="F180" s="13" t="s">
        <v>286</v>
      </c>
      <c r="G180" s="13" t="s">
        <v>935</v>
      </c>
      <c r="H180" s="16" t="s">
        <v>825</v>
      </c>
      <c r="I180" s="16" t="s">
        <v>826</v>
      </c>
      <c r="J180" s="13">
        <v>50.0</v>
      </c>
      <c r="K180" s="13">
        <v>50.0</v>
      </c>
      <c r="L180" s="13" t="s">
        <v>36</v>
      </c>
      <c r="M180" s="13" t="s">
        <v>36</v>
      </c>
      <c r="N180" s="20" t="s">
        <v>834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7.0" customHeight="1">
      <c r="A181" s="18" t="s">
        <v>821</v>
      </c>
      <c r="B181" s="13" t="s">
        <v>936</v>
      </c>
      <c r="C181" s="13">
        <v>8.8026682255E10</v>
      </c>
      <c r="D181" s="13" t="s">
        <v>937</v>
      </c>
      <c r="E181" s="13">
        <v>1970.0</v>
      </c>
      <c r="F181" s="13" t="s">
        <v>276</v>
      </c>
      <c r="G181" s="13" t="s">
        <v>938</v>
      </c>
      <c r="H181" s="16" t="s">
        <v>825</v>
      </c>
      <c r="I181" s="16" t="s">
        <v>826</v>
      </c>
      <c r="J181" s="13">
        <v>50.0</v>
      </c>
      <c r="K181" s="13">
        <v>50.0</v>
      </c>
      <c r="L181" s="13" t="s">
        <v>36</v>
      </c>
      <c r="M181" s="13" t="s">
        <v>36</v>
      </c>
      <c r="N181" s="20" t="s">
        <v>834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7.0" customHeight="1">
      <c r="A182" s="18" t="s">
        <v>821</v>
      </c>
      <c r="B182" s="13" t="s">
        <v>939</v>
      </c>
      <c r="C182" s="13">
        <v>8.8033174021E10</v>
      </c>
      <c r="D182" s="13" t="s">
        <v>940</v>
      </c>
      <c r="E182" s="13">
        <v>1970.0</v>
      </c>
      <c r="F182" s="13" t="s">
        <v>941</v>
      </c>
      <c r="G182" s="13" t="s">
        <v>942</v>
      </c>
      <c r="H182" s="16" t="s">
        <v>825</v>
      </c>
      <c r="I182" s="16" t="s">
        <v>826</v>
      </c>
      <c r="J182" s="13">
        <v>80.0</v>
      </c>
      <c r="K182" s="13">
        <v>80.0</v>
      </c>
      <c r="L182" s="13" t="s">
        <v>36</v>
      </c>
      <c r="M182" s="13" t="s">
        <v>36</v>
      </c>
      <c r="N182" s="20" t="s">
        <v>834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7.0" customHeight="1">
      <c r="A183" s="18" t="s">
        <v>821</v>
      </c>
      <c r="B183" s="13" t="s">
        <v>943</v>
      </c>
      <c r="C183" s="13">
        <v>8.8063162744E10</v>
      </c>
      <c r="D183" s="13" t="s">
        <v>944</v>
      </c>
      <c r="E183" s="13">
        <v>1970.0</v>
      </c>
      <c r="F183" s="13" t="s">
        <v>413</v>
      </c>
      <c r="G183" s="13" t="s">
        <v>945</v>
      </c>
      <c r="H183" s="16" t="s">
        <v>825</v>
      </c>
      <c r="I183" s="16" t="s">
        <v>826</v>
      </c>
      <c r="J183" s="13">
        <v>80.0</v>
      </c>
      <c r="K183" s="13">
        <v>80.0</v>
      </c>
      <c r="L183" s="13" t="s">
        <v>36</v>
      </c>
      <c r="M183" s="13" t="s">
        <v>36</v>
      </c>
      <c r="N183" s="20" t="s">
        <v>834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7.0" customHeight="1">
      <c r="A184" s="18" t="s">
        <v>821</v>
      </c>
      <c r="B184" s="13" t="s">
        <v>946</v>
      </c>
      <c r="C184" s="13">
        <v>8.8053165215E10</v>
      </c>
      <c r="D184" s="13" t="s">
        <v>947</v>
      </c>
      <c r="E184" s="13">
        <v>1970.0</v>
      </c>
      <c r="F184" s="13" t="s">
        <v>388</v>
      </c>
      <c r="G184" s="13" t="s">
        <v>948</v>
      </c>
      <c r="H184" s="16" t="s">
        <v>825</v>
      </c>
      <c r="I184" s="16" t="s">
        <v>826</v>
      </c>
      <c r="J184" s="13">
        <v>80.0</v>
      </c>
      <c r="K184" s="13">
        <v>80.0</v>
      </c>
      <c r="L184" s="13" t="s">
        <v>36</v>
      </c>
      <c r="M184" s="13" t="s">
        <v>36</v>
      </c>
      <c r="N184" s="20" t="s">
        <v>834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7.0" customHeight="1">
      <c r="A185" s="18" t="s">
        <v>821</v>
      </c>
      <c r="B185" s="13" t="s">
        <v>949</v>
      </c>
      <c r="C185" s="13">
        <v>8.8034164101E10</v>
      </c>
      <c r="D185" s="13" t="s">
        <v>950</v>
      </c>
      <c r="E185" s="13">
        <v>1970.0</v>
      </c>
      <c r="F185" s="13" t="s">
        <v>428</v>
      </c>
      <c r="G185" s="13" t="s">
        <v>951</v>
      </c>
      <c r="H185" s="16" t="s">
        <v>825</v>
      </c>
      <c r="I185" s="16" t="s">
        <v>826</v>
      </c>
      <c r="J185" s="13">
        <v>80.0</v>
      </c>
      <c r="K185" s="13">
        <v>80.0</v>
      </c>
      <c r="L185" s="13" t="s">
        <v>36</v>
      </c>
      <c r="M185" s="13" t="s">
        <v>36</v>
      </c>
      <c r="N185" s="20" t="s">
        <v>834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7.0" customHeight="1">
      <c r="A186" s="18" t="s">
        <v>821</v>
      </c>
      <c r="B186" s="13" t="s">
        <v>952</v>
      </c>
      <c r="C186" s="13">
        <v>8.808168532E9</v>
      </c>
      <c r="D186" s="13" t="s">
        <v>953</v>
      </c>
      <c r="E186" s="13">
        <v>1970.0</v>
      </c>
      <c r="F186" s="13" t="s">
        <v>423</v>
      </c>
      <c r="G186" s="13" t="s">
        <v>954</v>
      </c>
      <c r="H186" s="16" t="s">
        <v>825</v>
      </c>
      <c r="I186" s="16" t="s">
        <v>826</v>
      </c>
      <c r="J186" s="13">
        <v>80.0</v>
      </c>
      <c r="K186" s="13">
        <v>80.0</v>
      </c>
      <c r="L186" s="13" t="s">
        <v>36</v>
      </c>
      <c r="M186" s="13" t="s">
        <v>36</v>
      </c>
      <c r="N186" s="20" t="s">
        <v>834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7.0" customHeight="1">
      <c r="A187" s="18" t="s">
        <v>821</v>
      </c>
      <c r="B187" s="13" t="s">
        <v>955</v>
      </c>
      <c r="C187" s="13">
        <v>8.80761633E10</v>
      </c>
      <c r="D187" s="13" t="s">
        <v>956</v>
      </c>
      <c r="E187" s="13">
        <v>1970.0</v>
      </c>
      <c r="F187" s="13" t="s">
        <v>957</v>
      </c>
      <c r="G187" s="13" t="s">
        <v>958</v>
      </c>
      <c r="H187" s="16" t="s">
        <v>825</v>
      </c>
      <c r="I187" s="16" t="s">
        <v>826</v>
      </c>
      <c r="J187" s="13">
        <v>50.0</v>
      </c>
      <c r="K187" s="13">
        <v>50.0</v>
      </c>
      <c r="L187" s="13" t="s">
        <v>36</v>
      </c>
      <c r="M187" s="13" t="s">
        <v>36</v>
      </c>
      <c r="N187" s="20" t="s">
        <v>834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7.0" customHeight="1">
      <c r="A188" s="18" t="s">
        <v>821</v>
      </c>
      <c r="B188" s="13" t="s">
        <v>959</v>
      </c>
      <c r="C188" s="13">
        <v>8.8078155421E10</v>
      </c>
      <c r="D188" s="13" t="s">
        <v>960</v>
      </c>
      <c r="E188" s="13">
        <v>1970.0</v>
      </c>
      <c r="F188" s="13" t="s">
        <v>961</v>
      </c>
      <c r="G188" s="13" t="s">
        <v>962</v>
      </c>
      <c r="H188" s="16" t="s">
        <v>825</v>
      </c>
      <c r="I188" s="16" t="s">
        <v>826</v>
      </c>
      <c r="J188" s="13">
        <v>80.0</v>
      </c>
      <c r="K188" s="13">
        <v>80.0</v>
      </c>
      <c r="L188" s="13" t="s">
        <v>36</v>
      </c>
      <c r="M188" s="13" t="s">
        <v>36</v>
      </c>
      <c r="N188" s="20" t="s">
        <v>834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7.0" customHeight="1">
      <c r="A189" s="18" t="s">
        <v>821</v>
      </c>
      <c r="B189" s="13" t="s">
        <v>963</v>
      </c>
      <c r="C189" s="13">
        <v>8.80841633E10</v>
      </c>
      <c r="D189" s="13" t="s">
        <v>964</v>
      </c>
      <c r="E189" s="13">
        <v>1970.0</v>
      </c>
      <c r="F189" s="13" t="s">
        <v>448</v>
      </c>
      <c r="G189" s="13" t="s">
        <v>965</v>
      </c>
      <c r="H189" s="16" t="s">
        <v>825</v>
      </c>
      <c r="I189" s="16" t="s">
        <v>826</v>
      </c>
      <c r="J189" s="13">
        <v>50.0</v>
      </c>
      <c r="K189" s="13">
        <v>50.0</v>
      </c>
      <c r="L189" s="13" t="s">
        <v>36</v>
      </c>
      <c r="M189" s="13" t="s">
        <v>36</v>
      </c>
      <c r="N189" s="20" t="s">
        <v>834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7.0" customHeight="1">
      <c r="A190" s="18" t="s">
        <v>821</v>
      </c>
      <c r="B190" s="13" t="s">
        <v>966</v>
      </c>
      <c r="C190" s="13">
        <v>8.8085158221E10</v>
      </c>
      <c r="D190" s="13" t="s">
        <v>967</v>
      </c>
      <c r="E190" s="13">
        <v>1970.0</v>
      </c>
      <c r="F190" s="13" t="s">
        <v>968</v>
      </c>
      <c r="G190" s="13" t="s">
        <v>969</v>
      </c>
      <c r="H190" s="16" t="s">
        <v>825</v>
      </c>
      <c r="I190" s="16" t="s">
        <v>826</v>
      </c>
      <c r="J190" s="13">
        <v>70.0</v>
      </c>
      <c r="K190" s="13">
        <v>70.0</v>
      </c>
      <c r="L190" s="13" t="s">
        <v>36</v>
      </c>
      <c r="M190" s="13" t="s">
        <v>36</v>
      </c>
      <c r="N190" s="20" t="s">
        <v>834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7.0" customHeight="1">
      <c r="A191" s="18" t="s">
        <v>821</v>
      </c>
      <c r="B191" s="13" t="s">
        <v>970</v>
      </c>
      <c r="C191" s="13">
        <v>8.805166247E9</v>
      </c>
      <c r="D191" s="13" t="s">
        <v>971</v>
      </c>
      <c r="E191" s="13">
        <v>1970.0</v>
      </c>
      <c r="F191" s="13" t="s">
        <v>291</v>
      </c>
      <c r="G191" s="13" t="s">
        <v>972</v>
      </c>
      <c r="H191" s="16" t="s">
        <v>825</v>
      </c>
      <c r="I191" s="16" t="s">
        <v>826</v>
      </c>
      <c r="J191" s="13">
        <v>80.0</v>
      </c>
      <c r="K191" s="13">
        <v>80.0</v>
      </c>
      <c r="L191" s="13" t="s">
        <v>36</v>
      </c>
      <c r="M191" s="13" t="s">
        <v>36</v>
      </c>
      <c r="N191" s="20" t="s">
        <v>834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7.0" customHeight="1">
      <c r="A192" s="18" t="s">
        <v>821</v>
      </c>
      <c r="B192" s="13" t="s">
        <v>973</v>
      </c>
      <c r="C192" s="13">
        <v>8.80491613E10</v>
      </c>
      <c r="D192" s="13" t="s">
        <v>974</v>
      </c>
      <c r="E192" s="13">
        <v>1970.0</v>
      </c>
      <c r="F192" s="13" t="s">
        <v>975</v>
      </c>
      <c r="G192" s="13" t="s">
        <v>976</v>
      </c>
      <c r="H192" s="16" t="s">
        <v>825</v>
      </c>
      <c r="I192" s="16" t="s">
        <v>826</v>
      </c>
      <c r="J192" s="13">
        <v>50.0</v>
      </c>
      <c r="K192" s="13">
        <v>50.0</v>
      </c>
      <c r="L192" s="13" t="s">
        <v>36</v>
      </c>
      <c r="M192" s="13" t="s">
        <v>36</v>
      </c>
      <c r="N192" s="20" t="s">
        <v>834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7.0" customHeight="1">
      <c r="A193" s="18" t="s">
        <v>821</v>
      </c>
      <c r="B193" s="13" t="s">
        <v>977</v>
      </c>
      <c r="C193" s="13">
        <v>8.80448623E10</v>
      </c>
      <c r="D193" s="13" t="s">
        <v>978</v>
      </c>
      <c r="E193" s="13">
        <v>1970.0</v>
      </c>
      <c r="F193" s="13" t="s">
        <v>979</v>
      </c>
      <c r="G193" s="13" t="s">
        <v>980</v>
      </c>
      <c r="H193" s="16" t="s">
        <v>825</v>
      </c>
      <c r="I193" s="16" t="s">
        <v>826</v>
      </c>
      <c r="J193" s="13">
        <v>50.0</v>
      </c>
      <c r="K193" s="13">
        <v>50.0</v>
      </c>
      <c r="L193" s="13" t="s">
        <v>36</v>
      </c>
      <c r="M193" s="13" t="s">
        <v>36</v>
      </c>
      <c r="N193" s="20" t="s">
        <v>834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7.0" customHeight="1">
      <c r="A194" s="18" t="s">
        <v>821</v>
      </c>
      <c r="B194" s="13" t="s">
        <v>981</v>
      </c>
      <c r="C194" s="13">
        <v>8.8046862341E10</v>
      </c>
      <c r="D194" s="13" t="s">
        <v>982</v>
      </c>
      <c r="E194" s="13">
        <v>1970.0</v>
      </c>
      <c r="F194" s="13" t="s">
        <v>983</v>
      </c>
      <c r="G194" s="13" t="s">
        <v>984</v>
      </c>
      <c r="H194" s="16" t="s">
        <v>825</v>
      </c>
      <c r="I194" s="16" t="s">
        <v>826</v>
      </c>
      <c r="J194" s="13">
        <v>50.0</v>
      </c>
      <c r="K194" s="13">
        <v>50.0</v>
      </c>
      <c r="L194" s="13" t="s">
        <v>36</v>
      </c>
      <c r="M194" s="13" t="s">
        <v>36</v>
      </c>
      <c r="N194" s="20" t="s">
        <v>834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7.0" customHeight="1">
      <c r="A195" s="18" t="s">
        <v>821</v>
      </c>
      <c r="B195" s="13" t="s">
        <v>985</v>
      </c>
      <c r="C195" s="13">
        <v>8.801716383616E12</v>
      </c>
      <c r="D195" s="13" t="s">
        <v>986</v>
      </c>
      <c r="E195" s="13">
        <v>2008.0</v>
      </c>
      <c r="F195" s="13" t="s">
        <v>368</v>
      </c>
      <c r="G195" s="13" t="s">
        <v>987</v>
      </c>
      <c r="H195" s="16" t="s">
        <v>825</v>
      </c>
      <c r="I195" s="16" t="s">
        <v>826</v>
      </c>
      <c r="J195" s="13">
        <v>100.0</v>
      </c>
      <c r="K195" s="13">
        <v>100.0</v>
      </c>
      <c r="L195" s="13" t="s">
        <v>36</v>
      </c>
      <c r="M195" s="13" t="s">
        <v>36</v>
      </c>
      <c r="N195" s="20" t="s">
        <v>834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7.0" customHeight="1">
      <c r="A196" s="18" t="s">
        <v>821</v>
      </c>
      <c r="B196" s="13" t="s">
        <v>988</v>
      </c>
      <c r="C196" s="13">
        <v>8.801711311059E12</v>
      </c>
      <c r="D196" s="13" t="s">
        <v>989</v>
      </c>
      <c r="E196" s="13">
        <v>2010.0</v>
      </c>
      <c r="F196" s="13" t="s">
        <v>990</v>
      </c>
      <c r="G196" s="13" t="s">
        <v>991</v>
      </c>
      <c r="H196" s="16" t="s">
        <v>825</v>
      </c>
      <c r="I196" s="16" t="s">
        <v>826</v>
      </c>
      <c r="J196" s="13">
        <v>125.0</v>
      </c>
      <c r="K196" s="13">
        <v>125.0</v>
      </c>
      <c r="L196" s="13" t="s">
        <v>36</v>
      </c>
      <c r="M196" s="13" t="s">
        <v>36</v>
      </c>
      <c r="N196" s="20" t="s">
        <v>834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7.0" customHeight="1">
      <c r="A197" s="18" t="s">
        <v>821</v>
      </c>
      <c r="B197" s="13" t="s">
        <v>992</v>
      </c>
      <c r="C197" s="13">
        <v>8.8031278016E11</v>
      </c>
      <c r="D197" s="13" t="s">
        <v>993</v>
      </c>
      <c r="E197" s="13">
        <v>2012.0</v>
      </c>
      <c r="F197" s="13" t="s">
        <v>994</v>
      </c>
      <c r="G197" s="13" t="s">
        <v>995</v>
      </c>
      <c r="H197" s="16" t="s">
        <v>825</v>
      </c>
      <c r="I197" s="16" t="s">
        <v>826</v>
      </c>
      <c r="J197" s="13">
        <v>100.0</v>
      </c>
      <c r="K197" s="13">
        <v>100.0</v>
      </c>
      <c r="L197" s="13" t="s">
        <v>36</v>
      </c>
      <c r="M197" s="13" t="s">
        <v>36</v>
      </c>
      <c r="N197" s="20" t="s">
        <v>834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7.0" customHeight="1">
      <c r="A198" s="18" t="s">
        <v>821</v>
      </c>
      <c r="B198" s="13" t="s">
        <v>996</v>
      </c>
      <c r="C198" s="13">
        <v>8.801712166986E12</v>
      </c>
      <c r="D198" s="13" t="s">
        <v>997</v>
      </c>
      <c r="E198" s="13">
        <v>1970.0</v>
      </c>
      <c r="F198" s="13" t="s">
        <v>418</v>
      </c>
      <c r="G198" s="13" t="s">
        <v>998</v>
      </c>
      <c r="H198" s="16" t="s">
        <v>825</v>
      </c>
      <c r="I198" s="16" t="s">
        <v>826</v>
      </c>
      <c r="J198" s="13">
        <v>100.0</v>
      </c>
      <c r="K198" s="13">
        <v>100.0</v>
      </c>
      <c r="L198" s="13" t="s">
        <v>36</v>
      </c>
      <c r="M198" s="13" t="s">
        <v>36</v>
      </c>
      <c r="N198" s="20" t="s">
        <v>834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7.0" customHeight="1">
      <c r="A199" s="18" t="s">
        <v>821</v>
      </c>
      <c r="B199" s="13" t="s">
        <v>999</v>
      </c>
      <c r="C199" s="13">
        <v>8.8029136709E10</v>
      </c>
      <c r="D199" s="13" t="s">
        <v>1000</v>
      </c>
      <c r="E199" s="13">
        <v>1970.0</v>
      </c>
      <c r="F199" s="13" t="s">
        <v>1001</v>
      </c>
      <c r="G199" s="13" t="s">
        <v>1002</v>
      </c>
      <c r="H199" s="16" t="s">
        <v>825</v>
      </c>
      <c r="I199" s="16" t="s">
        <v>826</v>
      </c>
      <c r="J199" s="13">
        <v>100.0</v>
      </c>
      <c r="K199" s="13">
        <v>100.0</v>
      </c>
      <c r="L199" s="13" t="s">
        <v>36</v>
      </c>
      <c r="M199" s="13" t="s">
        <v>36</v>
      </c>
      <c r="N199" s="20" t="s">
        <v>834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7.0" customHeight="1">
      <c r="A200" s="18" t="s">
        <v>821</v>
      </c>
      <c r="B200" s="13" t="s">
        <v>1003</v>
      </c>
      <c r="C200" s="13">
        <v>8.801819616212E12</v>
      </c>
      <c r="D200" s="13" t="s">
        <v>1004</v>
      </c>
      <c r="E200" s="13">
        <v>2008.0</v>
      </c>
      <c r="F200" s="13" t="s">
        <v>443</v>
      </c>
      <c r="G200" s="13" t="s">
        <v>1005</v>
      </c>
      <c r="H200" s="16" t="s">
        <v>825</v>
      </c>
      <c r="I200" s="16" t="s">
        <v>826</v>
      </c>
      <c r="J200" s="13">
        <v>100.0</v>
      </c>
      <c r="K200" s="13">
        <v>100.0</v>
      </c>
      <c r="L200" s="13" t="s">
        <v>36</v>
      </c>
      <c r="M200" s="13" t="s">
        <v>36</v>
      </c>
      <c r="N200" s="20" t="s">
        <v>834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7.0" customHeight="1">
      <c r="A201" s="18" t="s">
        <v>821</v>
      </c>
      <c r="B201" s="13" t="s">
        <v>1006</v>
      </c>
      <c r="C201" s="13">
        <v>8.801712530113E12</v>
      </c>
      <c r="D201" s="13" t="s">
        <v>1007</v>
      </c>
      <c r="E201" s="13">
        <v>2010.0</v>
      </c>
      <c r="F201" s="13" t="s">
        <v>291</v>
      </c>
      <c r="G201" s="13" t="s">
        <v>1008</v>
      </c>
      <c r="H201" s="16" t="s">
        <v>825</v>
      </c>
      <c r="I201" s="16" t="s">
        <v>826</v>
      </c>
      <c r="J201" s="13">
        <v>100.0</v>
      </c>
      <c r="K201" s="13">
        <v>100.0</v>
      </c>
      <c r="L201" s="13" t="s">
        <v>36</v>
      </c>
      <c r="M201" s="13" t="s">
        <v>36</v>
      </c>
      <c r="N201" s="20" t="s">
        <v>834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7.0" customHeight="1">
      <c r="A202" s="18" t="s">
        <v>821</v>
      </c>
      <c r="B202" s="13" t="s">
        <v>1009</v>
      </c>
      <c r="C202" s="13">
        <v>8.801715104257E12</v>
      </c>
      <c r="D202" s="13" t="s">
        <v>1010</v>
      </c>
      <c r="E202" s="13">
        <v>2011.0</v>
      </c>
      <c r="F202" s="13" t="s">
        <v>1011</v>
      </c>
      <c r="G202" s="13" t="s">
        <v>1012</v>
      </c>
      <c r="H202" s="16" t="s">
        <v>825</v>
      </c>
      <c r="I202" s="16" t="s">
        <v>826</v>
      </c>
      <c r="J202" s="13">
        <v>100.0</v>
      </c>
      <c r="K202" s="13">
        <v>100.0</v>
      </c>
      <c r="L202" s="13" t="s">
        <v>36</v>
      </c>
      <c r="M202" s="13" t="s">
        <v>36</v>
      </c>
      <c r="N202" s="20" t="s">
        <v>834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7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17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7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17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7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17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7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17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7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17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7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17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7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17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7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17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7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17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7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17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7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17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7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17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7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17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7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17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7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17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7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17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7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17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7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17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7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17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7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17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7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17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7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17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7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17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7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17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7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17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7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17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7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17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7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17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7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17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7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17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7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17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7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17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7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17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7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17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7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17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7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17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7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17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7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17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7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17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7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17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7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17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7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17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7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17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7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17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7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17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7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17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7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17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7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17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7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17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7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17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7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17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7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17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7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17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7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17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7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17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7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17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7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17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7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17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7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17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7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17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7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17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7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17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7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17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7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17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7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17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7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17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7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17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7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17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7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17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7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17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7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17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7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17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7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17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7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17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7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17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7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17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7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17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7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17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7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17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7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17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7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17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7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17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7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17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7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17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7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17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7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17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7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17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7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17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7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17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7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17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7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17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7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17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7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17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7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17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7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17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7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17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7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17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7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17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7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17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7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17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7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17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7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17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7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17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7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17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7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17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7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17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7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17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7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17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7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17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7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17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7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17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7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17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7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17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7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17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7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17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7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17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7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17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7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17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7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17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7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17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7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17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7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17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7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17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7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17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7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17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7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17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7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17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7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17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7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17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7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17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7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17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7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17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7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17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7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17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7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17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7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17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7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17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7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17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7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17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7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17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7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17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7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17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7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17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7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17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7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17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7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17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7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17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7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17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7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17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7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17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7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17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7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17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7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17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7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17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7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17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7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17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7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17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7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17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7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17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7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17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7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17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7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17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7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17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7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17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7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17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7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17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7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17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7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17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7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7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7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17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7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17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7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17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7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17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7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17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7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17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7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17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7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17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7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17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7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17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7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17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7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17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7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17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7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17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7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17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7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17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7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17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7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17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7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17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7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17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7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17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7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17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7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17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7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17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7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17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7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17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7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17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7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17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7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17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7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17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7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17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7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17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7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17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7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17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7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17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7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17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7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17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7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17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7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17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7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17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7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17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7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17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7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17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7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17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7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17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7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17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7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17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7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17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7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17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7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17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7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17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7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17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7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17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7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17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7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17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7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17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7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17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7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17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7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17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7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17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7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17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7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17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7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17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7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17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7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17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7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17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7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17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7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17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7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17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7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17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7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17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7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17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7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17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7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17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7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17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7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17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7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17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7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17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7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17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7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17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7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17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7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17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7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17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7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17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7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17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7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17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7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17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7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17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7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17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7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17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7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17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7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17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7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17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7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17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7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17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7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17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7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17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7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17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7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17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7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17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7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17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7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17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7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17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7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17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7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17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7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17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7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17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7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17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7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17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7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17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7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17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7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17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7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17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7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17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7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17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7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17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7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17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7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17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7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17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7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17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7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17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7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17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7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17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7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17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7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17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7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17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7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17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7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17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7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17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7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17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7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17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7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17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7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17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7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17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7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17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7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17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7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17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7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17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7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17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7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17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7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17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7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17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7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17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7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17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7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17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7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17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7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17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7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17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7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17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7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17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7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17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7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17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7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17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7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17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7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17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7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17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7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17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7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17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7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17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7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17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7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17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7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17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7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17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7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17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7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17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7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17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7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17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7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17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7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17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7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17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7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17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7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17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7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17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7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17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7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17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7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17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7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17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7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17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7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17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7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17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7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17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7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17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7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17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7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17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7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17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7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17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7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17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7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17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7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17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7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17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7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17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7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17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7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17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7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17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7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17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7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17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7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17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7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17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7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17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7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17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7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17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7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17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7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17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7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17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7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17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7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17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7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17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7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17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7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17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7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17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7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17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7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17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7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17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7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17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7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17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7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17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7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17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7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17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7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17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7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17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7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17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7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17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7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17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7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17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7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17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7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17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7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17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7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17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7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17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7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17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7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17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7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17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7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17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7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17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7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17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7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17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7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17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7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17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7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17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7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17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7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17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7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17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7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17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7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17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7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17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7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17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7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17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7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17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7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17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7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17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7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17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7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17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7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17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7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17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7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17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7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17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7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17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7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17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7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17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7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17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7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17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7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17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7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17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7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17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7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17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7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17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7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17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7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17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7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17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7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17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7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17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7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17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7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17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7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17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7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17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7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17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7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17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7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17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7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17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7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17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7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17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7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17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7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17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7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17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7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17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7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17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7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17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7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17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7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17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7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17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7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17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7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17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7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17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7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17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7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17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7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17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7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17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7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17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7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17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7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17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7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17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7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17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7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17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7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17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7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17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7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17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7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17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7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17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7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17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7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17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7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17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7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17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7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17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7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17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7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17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7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17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7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17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7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17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7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17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7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17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7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17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7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17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7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17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7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17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7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17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7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17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7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17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7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17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7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17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7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17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7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17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7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17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7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17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7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17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7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17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7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17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7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17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7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17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7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17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7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17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7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17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7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17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7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17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7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17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7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17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7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17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7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17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7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17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7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17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7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17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7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17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7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17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7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17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7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17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7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17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7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17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7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17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7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17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7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17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7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17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7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17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7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17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7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17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7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17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7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17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7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17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7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17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7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17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7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17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7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17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7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17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7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17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7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17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7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17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7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17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7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17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7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17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7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17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7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17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7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17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7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17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7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17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7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17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7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17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7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17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7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17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7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17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7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17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7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17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7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17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7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17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7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17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7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17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7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17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7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17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7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17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7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17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7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17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7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17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7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17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7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17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7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17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7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17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7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17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7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17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7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17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7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17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7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17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7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17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7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17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7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17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7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17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7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17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7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17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7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17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7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17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7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17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7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17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7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17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7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17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7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17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7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17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7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17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7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17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7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17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7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17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7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17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7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17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7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17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7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17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7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17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7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17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7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17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7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17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7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17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7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17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7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17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7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17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7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17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7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17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7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17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7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17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7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17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7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17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7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17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7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17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7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17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7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17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7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17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7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17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7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17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7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17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7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17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7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17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7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17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7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17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7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17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7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17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7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17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7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17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7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17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7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17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7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17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7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17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7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17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7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17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7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17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7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17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7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17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7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17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7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17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7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17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7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17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7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17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7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17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7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17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7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17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7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17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7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17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7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17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7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17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7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17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7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17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7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17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7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17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7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17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7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17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7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17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7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17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7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17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7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17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7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17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7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17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7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17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7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17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7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17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7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17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7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17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7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17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7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17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7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17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7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17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7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17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7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17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7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17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7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17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7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17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7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17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7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17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7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17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7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17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7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17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7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17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7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17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7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17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7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17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7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17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7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17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7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17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7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17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7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17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7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17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7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17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7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17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7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17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7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17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7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17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7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17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7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17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7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17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7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17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7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17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7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17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7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17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7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17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7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17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7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17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7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17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7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17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7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17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7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17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7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17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7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17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7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17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7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17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7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17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7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17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7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17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7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17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7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17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7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17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7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17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7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17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7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17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7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17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7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17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7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17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7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17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7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17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7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17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7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17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7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17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7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17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7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17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7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17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7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17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7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17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7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17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7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17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7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17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7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17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7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17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7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17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7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17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7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17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7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17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7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17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7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17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7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17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7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17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7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17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7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17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7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17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7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17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7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17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7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17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7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17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7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17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7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17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7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17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7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17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7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17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7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17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7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17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7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17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7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17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7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17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7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17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7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17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7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17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7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17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7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17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7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17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7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17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7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17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7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17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7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17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7.0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17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27.0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17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I61"/>
    <hyperlink r:id="rId121" ref="H62"/>
    <hyperlink r:id="rId122" ref="I62"/>
    <hyperlink r:id="rId123" ref="H63"/>
    <hyperlink r:id="rId124" ref="I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H73"/>
    <hyperlink r:id="rId144" ref="I73"/>
    <hyperlink r:id="rId145" ref="H74"/>
    <hyperlink r:id="rId146" ref="I74"/>
    <hyperlink r:id="rId147" ref="H75"/>
    <hyperlink r:id="rId148" ref="I75"/>
    <hyperlink r:id="rId149" ref="H76"/>
    <hyperlink r:id="rId150" ref="I76"/>
    <hyperlink r:id="rId151" ref="H77"/>
    <hyperlink r:id="rId152" ref="I77"/>
    <hyperlink r:id="rId153" ref="H78"/>
    <hyperlink r:id="rId154" ref="I78"/>
    <hyperlink r:id="rId155" ref="H79"/>
    <hyperlink r:id="rId156" ref="I79"/>
    <hyperlink r:id="rId157" ref="H80"/>
    <hyperlink r:id="rId158" ref="I80"/>
    <hyperlink r:id="rId159" ref="H81"/>
    <hyperlink r:id="rId160" ref="I81"/>
    <hyperlink r:id="rId161" ref="H82"/>
    <hyperlink r:id="rId162" ref="I82"/>
    <hyperlink r:id="rId163" ref="H83"/>
    <hyperlink r:id="rId164" ref="I83"/>
    <hyperlink r:id="rId165" ref="H84"/>
    <hyperlink r:id="rId166" ref="I84"/>
    <hyperlink r:id="rId167" ref="H85"/>
    <hyperlink r:id="rId168" ref="I85"/>
    <hyperlink r:id="rId169" ref="H86"/>
    <hyperlink r:id="rId170" ref="I86"/>
    <hyperlink r:id="rId171" ref="H87"/>
    <hyperlink r:id="rId172" ref="I87"/>
    <hyperlink r:id="rId173" ref="H88"/>
    <hyperlink r:id="rId174" ref="I88"/>
    <hyperlink r:id="rId175" ref="H89"/>
    <hyperlink r:id="rId176" ref="I89"/>
    <hyperlink r:id="rId177" ref="H90"/>
    <hyperlink r:id="rId178" ref="I90"/>
    <hyperlink r:id="rId179" ref="H91"/>
    <hyperlink r:id="rId180" ref="I91"/>
    <hyperlink r:id="rId181" ref="H92"/>
    <hyperlink r:id="rId182" ref="I92"/>
    <hyperlink r:id="rId183" ref="H93"/>
    <hyperlink r:id="rId184" ref="I93"/>
    <hyperlink r:id="rId185" ref="H94"/>
    <hyperlink r:id="rId186" ref="I94"/>
    <hyperlink r:id="rId187" ref="H95"/>
    <hyperlink r:id="rId188" ref="I95"/>
    <hyperlink r:id="rId189" ref="H96"/>
    <hyperlink r:id="rId190" ref="I96"/>
    <hyperlink r:id="rId191" ref="H97"/>
    <hyperlink r:id="rId192" ref="I97"/>
    <hyperlink r:id="rId193" ref="H98"/>
    <hyperlink r:id="rId194" ref="I98"/>
    <hyperlink r:id="rId195" ref="H99"/>
    <hyperlink r:id="rId196" ref="I99"/>
    <hyperlink r:id="rId197" ref="H100"/>
    <hyperlink r:id="rId198" ref="I100"/>
    <hyperlink r:id="rId199" ref="H101"/>
    <hyperlink r:id="rId200" ref="I101"/>
    <hyperlink r:id="rId201" ref="H102"/>
    <hyperlink r:id="rId202" ref="I102"/>
    <hyperlink r:id="rId203" ref="H103"/>
    <hyperlink r:id="rId204" ref="I103"/>
    <hyperlink r:id="rId205" ref="H104"/>
    <hyperlink r:id="rId206" ref="I104"/>
    <hyperlink r:id="rId207" ref="H105"/>
    <hyperlink r:id="rId208" ref="I105"/>
    <hyperlink r:id="rId209" ref="H106"/>
    <hyperlink r:id="rId210" ref="I106"/>
    <hyperlink r:id="rId211" ref="H107"/>
    <hyperlink r:id="rId212" ref="I107"/>
    <hyperlink r:id="rId213" ref="H108"/>
    <hyperlink r:id="rId214" ref="I108"/>
    <hyperlink r:id="rId215" ref="H109"/>
    <hyperlink r:id="rId216" ref="I109"/>
    <hyperlink r:id="rId217" ref="H110"/>
    <hyperlink r:id="rId218" ref="I110"/>
    <hyperlink r:id="rId219" ref="H111"/>
    <hyperlink r:id="rId220" ref="I111"/>
    <hyperlink r:id="rId221" ref="H112"/>
    <hyperlink r:id="rId222" ref="I112"/>
    <hyperlink r:id="rId223" ref="H113"/>
    <hyperlink r:id="rId224" ref="I113"/>
    <hyperlink r:id="rId225" ref="H114"/>
    <hyperlink r:id="rId226" ref="I114"/>
    <hyperlink r:id="rId227" ref="H115"/>
    <hyperlink r:id="rId228" ref="I115"/>
    <hyperlink r:id="rId229" ref="H116"/>
    <hyperlink r:id="rId230" ref="I116"/>
    <hyperlink r:id="rId231" ref="H117"/>
    <hyperlink r:id="rId232" ref="I117"/>
    <hyperlink r:id="rId233" ref="H118"/>
    <hyperlink r:id="rId234" ref="I118"/>
    <hyperlink r:id="rId235" ref="H119"/>
    <hyperlink r:id="rId236" ref="I119"/>
    <hyperlink r:id="rId237" ref="H120"/>
    <hyperlink r:id="rId238" ref="I120"/>
    <hyperlink r:id="rId239" ref="H121"/>
    <hyperlink r:id="rId240" ref="I121"/>
    <hyperlink r:id="rId241" ref="H122"/>
    <hyperlink r:id="rId242" ref="I122"/>
    <hyperlink r:id="rId243" ref="H123"/>
    <hyperlink r:id="rId244" ref="I123"/>
    <hyperlink r:id="rId245" ref="H124"/>
    <hyperlink r:id="rId246" ref="I124"/>
    <hyperlink r:id="rId247" ref="H125"/>
    <hyperlink r:id="rId248" ref="I125"/>
    <hyperlink r:id="rId249" ref="H126"/>
    <hyperlink r:id="rId250" ref="I126"/>
    <hyperlink r:id="rId251" ref="H127"/>
    <hyperlink r:id="rId252" ref="I127"/>
    <hyperlink r:id="rId253" ref="H128"/>
    <hyperlink r:id="rId254" ref="I128"/>
    <hyperlink r:id="rId255" ref="H129"/>
    <hyperlink r:id="rId256" ref="I129"/>
    <hyperlink r:id="rId257" ref="H130"/>
    <hyperlink r:id="rId258" ref="I130"/>
    <hyperlink r:id="rId259" ref="H131"/>
    <hyperlink r:id="rId260" ref="I131"/>
    <hyperlink r:id="rId261" ref="H132"/>
    <hyperlink r:id="rId262" ref="I132"/>
    <hyperlink r:id="rId263" ref="H133"/>
    <hyperlink r:id="rId264" ref="I133"/>
    <hyperlink r:id="rId265" ref="H134"/>
    <hyperlink r:id="rId266" ref="I134"/>
    <hyperlink r:id="rId267" ref="H135"/>
    <hyperlink r:id="rId268" ref="I135"/>
    <hyperlink r:id="rId269" ref="H136"/>
    <hyperlink r:id="rId270" ref="I136"/>
    <hyperlink r:id="rId271" ref="H137"/>
    <hyperlink r:id="rId272" ref="I137"/>
    <hyperlink r:id="rId273" ref="H138"/>
    <hyperlink r:id="rId274" ref="I138"/>
    <hyperlink r:id="rId275" ref="H139"/>
    <hyperlink r:id="rId276" ref="I139"/>
    <hyperlink r:id="rId277" ref="H140"/>
    <hyperlink r:id="rId278" ref="I140"/>
    <hyperlink r:id="rId279" ref="H141"/>
    <hyperlink r:id="rId280" ref="I141"/>
    <hyperlink r:id="rId281" ref="H142"/>
    <hyperlink r:id="rId282" ref="I142"/>
    <hyperlink r:id="rId283" ref="H143"/>
    <hyperlink r:id="rId284" ref="I143"/>
    <hyperlink r:id="rId285" ref="H144"/>
    <hyperlink r:id="rId286" ref="I144"/>
    <hyperlink r:id="rId287" ref="H145"/>
    <hyperlink r:id="rId288" ref="I145"/>
    <hyperlink r:id="rId289" ref="H146"/>
    <hyperlink r:id="rId290" ref="I146"/>
    <hyperlink r:id="rId291" ref="H147"/>
    <hyperlink r:id="rId292" ref="I147"/>
    <hyperlink r:id="rId293" ref="H148"/>
    <hyperlink r:id="rId294" ref="I148"/>
    <hyperlink r:id="rId295" ref="H149"/>
    <hyperlink r:id="rId296" ref="I149"/>
    <hyperlink r:id="rId297" ref="H150"/>
    <hyperlink r:id="rId298" ref="I150"/>
    <hyperlink r:id="rId299" ref="H151"/>
    <hyperlink r:id="rId300" ref="I151"/>
    <hyperlink r:id="rId301" ref="H152"/>
    <hyperlink r:id="rId302" ref="I152"/>
    <hyperlink r:id="rId303" ref="H153"/>
    <hyperlink r:id="rId304" ref="I153"/>
    <hyperlink r:id="rId305" ref="H154"/>
    <hyperlink r:id="rId306" ref="I154"/>
    <hyperlink r:id="rId307" ref="H155"/>
    <hyperlink r:id="rId308" ref="I155"/>
    <hyperlink r:id="rId309" ref="H156"/>
    <hyperlink r:id="rId310" ref="I156"/>
    <hyperlink r:id="rId311" ref="H157"/>
    <hyperlink r:id="rId312" ref="I157"/>
    <hyperlink r:id="rId313" ref="H158"/>
    <hyperlink r:id="rId314" ref="I158"/>
    <hyperlink r:id="rId315" ref="H159"/>
    <hyperlink r:id="rId316" ref="I159"/>
    <hyperlink r:id="rId317" ref="H160"/>
    <hyperlink r:id="rId318" ref="I160"/>
    <hyperlink r:id="rId319" ref="H161"/>
    <hyperlink r:id="rId320" ref="I161"/>
    <hyperlink r:id="rId321" ref="H162"/>
    <hyperlink r:id="rId322" ref="I162"/>
    <hyperlink r:id="rId323" ref="H163"/>
    <hyperlink r:id="rId324" ref="I163"/>
    <hyperlink r:id="rId325" ref="H164"/>
    <hyperlink r:id="rId326" ref="I164"/>
    <hyperlink r:id="rId327" ref="H165"/>
    <hyperlink r:id="rId328" ref="I165"/>
    <hyperlink r:id="rId329" ref="H166"/>
    <hyperlink r:id="rId330" ref="I166"/>
    <hyperlink r:id="rId331" ref="H167"/>
    <hyperlink r:id="rId332" ref="I167"/>
    <hyperlink r:id="rId333" ref="H168"/>
    <hyperlink r:id="rId334" ref="I168"/>
    <hyperlink r:id="rId335" ref="H169"/>
    <hyperlink r:id="rId336" ref="I169"/>
    <hyperlink r:id="rId337" ref="H170"/>
    <hyperlink r:id="rId338" ref="I170"/>
    <hyperlink r:id="rId339" ref="H171"/>
    <hyperlink r:id="rId340" ref="I171"/>
    <hyperlink r:id="rId341" ref="H172"/>
    <hyperlink r:id="rId342" ref="I172"/>
    <hyperlink r:id="rId343" ref="H173"/>
    <hyperlink r:id="rId344" ref="I173"/>
    <hyperlink r:id="rId345" ref="H174"/>
    <hyperlink r:id="rId346" ref="I174"/>
    <hyperlink r:id="rId347" ref="H175"/>
    <hyperlink r:id="rId348" ref="I175"/>
    <hyperlink r:id="rId349" ref="H176"/>
    <hyperlink r:id="rId350" ref="I176"/>
    <hyperlink r:id="rId351" ref="H177"/>
    <hyperlink r:id="rId352" ref="I177"/>
    <hyperlink r:id="rId353" ref="H178"/>
    <hyperlink r:id="rId354" ref="I178"/>
    <hyperlink r:id="rId355" ref="H179"/>
    <hyperlink r:id="rId356" ref="I179"/>
    <hyperlink r:id="rId357" ref="H180"/>
    <hyperlink r:id="rId358" ref="I180"/>
    <hyperlink r:id="rId359" ref="H181"/>
    <hyperlink r:id="rId360" ref="I181"/>
    <hyperlink r:id="rId361" ref="H182"/>
    <hyperlink r:id="rId362" ref="I182"/>
    <hyperlink r:id="rId363" ref="H183"/>
    <hyperlink r:id="rId364" ref="I183"/>
    <hyperlink r:id="rId365" ref="H184"/>
    <hyperlink r:id="rId366" ref="I184"/>
    <hyperlink r:id="rId367" ref="H185"/>
    <hyperlink r:id="rId368" ref="I185"/>
    <hyperlink r:id="rId369" ref="H186"/>
    <hyperlink r:id="rId370" ref="I186"/>
    <hyperlink r:id="rId371" ref="H187"/>
    <hyperlink r:id="rId372" ref="I187"/>
    <hyperlink r:id="rId373" ref="H188"/>
    <hyperlink r:id="rId374" ref="I188"/>
    <hyperlink r:id="rId375" ref="H189"/>
    <hyperlink r:id="rId376" ref="I189"/>
    <hyperlink r:id="rId377" ref="H190"/>
    <hyperlink r:id="rId378" ref="I190"/>
    <hyperlink r:id="rId379" ref="H191"/>
    <hyperlink r:id="rId380" ref="I191"/>
    <hyperlink r:id="rId381" ref="H192"/>
    <hyperlink r:id="rId382" ref="I192"/>
    <hyperlink r:id="rId383" ref="H193"/>
    <hyperlink r:id="rId384" ref="I193"/>
    <hyperlink r:id="rId385" ref="H194"/>
    <hyperlink r:id="rId386" ref="I194"/>
    <hyperlink r:id="rId387" ref="H195"/>
    <hyperlink r:id="rId388" ref="I195"/>
    <hyperlink r:id="rId389" ref="H196"/>
    <hyperlink r:id="rId390" ref="I196"/>
    <hyperlink r:id="rId391" ref="H197"/>
    <hyperlink r:id="rId392" ref="I197"/>
    <hyperlink r:id="rId393" ref="H198"/>
    <hyperlink r:id="rId394" ref="I198"/>
    <hyperlink r:id="rId395" ref="H199"/>
    <hyperlink r:id="rId396" ref="I199"/>
    <hyperlink r:id="rId397" ref="H200"/>
    <hyperlink r:id="rId398" ref="I200"/>
    <hyperlink r:id="rId399" ref="H201"/>
    <hyperlink r:id="rId400" ref="I201"/>
    <hyperlink r:id="rId401" ref="H202"/>
    <hyperlink r:id="rId402" ref="I202"/>
  </hyperlinks>
  <drawing r:id="rId403"/>
  <tableParts count="5">
    <tablePart r:id="rId409"/>
    <tablePart r:id="rId410"/>
    <tablePart r:id="rId411"/>
    <tablePart r:id="rId412"/>
    <tablePart r:id="rId413"/>
  </tableParts>
</worksheet>
</file>